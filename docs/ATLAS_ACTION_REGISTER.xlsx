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1 Decisions" sheetId="2" state="visible" r:id="rId4"/>
    <sheet name="2 Named models" sheetId="3" state="visible" r:id="rId5"/>
    <sheet name="3 Persona allocation" sheetId="4" state="visible" r:id="rId6"/>
    <sheet name="4 Companions" sheetId="5" state="visible" r:id="rId7"/>
    <sheet name="5 Structure changes" sheetId="6" state="visible" r:id="rId8"/>
    <sheet name="6 Baseline open items" sheetId="7" state="visible" r:id="rId9"/>
    <sheet name="7 Node tests" sheetId="8" state="visible" r:id="rId10"/>
  </sheets>
  <definedNames>
    <definedName function="false" hidden="false" localSheetId="1" name="_xlnm.Print_Titles" vbProcedure="false">'1 Decisions'!$4:$4</definedName>
    <definedName function="false" hidden="true" localSheetId="1" name="_xlnm._FilterDatabase" vbProcedure="false">'1 Decisions'!$A$4:$L$68</definedName>
    <definedName function="false" hidden="false" localSheetId="2" name="_xlnm.Print_Titles" vbProcedure="false">'2 Named models'!$4:$4</definedName>
    <definedName function="false" hidden="true" localSheetId="2" name="_xlnm._FilterDatabase" vbProcedure="false">'2 Named models'!$A$4:$K$16</definedName>
    <definedName function="false" hidden="false" localSheetId="3" name="_xlnm.Print_Titles" vbProcedure="false">'3 Persona allocation'!$4:$4</definedName>
    <definedName function="false" hidden="true" localSheetId="3" name="_xlnm._FilterDatabase" vbProcedure="false">'3 Persona allocation'!$A$4:$M$22</definedName>
    <definedName function="false" hidden="false" localSheetId="4" name="_xlnm.Print_Titles" vbProcedure="false">'4 Companions'!$4:$4</definedName>
    <definedName function="false" hidden="true" localSheetId="4" name="_xlnm._FilterDatabase" vbProcedure="false">'4 Companions'!$A$4:$K$16</definedName>
    <definedName function="false" hidden="false" localSheetId="5" name="_xlnm.Print_Titles" vbProcedure="false">'5 Structure changes'!$4:$4</definedName>
    <definedName function="false" hidden="true" localSheetId="5" name="_xlnm._FilterDatabase" vbProcedure="false">'5 Structure changes'!$A$4:$J$64</definedName>
    <definedName function="false" hidden="false" localSheetId="6" name="_xlnm.Print_Titles" vbProcedure="false">'6 Baseline open items'!$4:$4</definedName>
    <definedName function="false" hidden="true" localSheetId="6" name="_xlnm._FilterDatabase" vbProcedure="false">'6 Baseline open items'!$A$4:$J$84</definedName>
    <definedName function="false" hidden="false" localSheetId="7" name="_xlnm.Print_Titles" vbProcedure="false">'7 Node tests'!$4:$4</definedName>
    <definedName function="false" hidden="true" localSheetId="7" name="_xlnm._FilterDatabase" vbProcedure="false">'7 Node tests'!$A$4:$H$37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<sst xmlns="http://schemas.openxmlformats.org/spreadsheetml/2006/main" count="2214" uniqueCount="1834">
  <si>
    <t xml:space="preserve">A.T.L.A.S. Action Register</t>
  </si>
  <si>
    <t xml:space="preserve">Every open action and recommendation from the research of 13 to 15 October 2026 (the roster refresh, the specialist LLM arsenal and the Lucebox study) and the items still open in the baseline v0.3.5, for the Principal's response. Nothing in the repository has been changed; the structure is amended only after this workbook is returned.</t>
  </si>
  <si>
    <t xml:space="preserve">How to use this workbook</t>
  </si>
  <si>
    <t xml:space="preserve">1. Each sheet lists items with the recommendation in the blue column. The yellow cells are yours: Your response (dropdown), Your choice or alternative, and Your comments. Do not edit the other cells.</t>
  </si>
  <si>
    <t xml:space="preserve">2. Your response: Approve (take the recommendation as written), Approve with changes (write the change in the next cell), Reject, Defer (decide later), Need more info (say what you need). Sheet 6 also offers Done.</t>
  </si>
  <si>
    <t xml:space="preserve">3. Work sheet 1 (Decisions) first. Sheets 2 to 4 follow from it, and sheet 5 lists the document, script and workbook amendments that each approved decision would trigger, citing the decision IDs it depends on.</t>
  </si>
  <si>
    <t xml:space="preserve">4. Sheet 7 lists the measurements on the node that settle the open quality questions; approving a test adds it to the Phase 3 test plan.</t>
  </si>
  <si>
    <t xml:space="preserve">5. Speeds and quality figures are projections or full-precision results until the node measures them. Sources are the reports and notes under reports/ and research_notes/ in the repository.</t>
  </si>
  <si>
    <t xml:space="preserve">6. The progress table below updates as you answer. Return the workbook when done; each approved structure change is then made, checked and committed.</t>
  </si>
  <si>
    <t xml:space="preserve">Example of a completed row (illustration only, not an item)</t>
  </si>
  <si>
    <t xml:space="preserve">ID</t>
  </si>
  <si>
    <t xml:space="preserve">D-00</t>
  </si>
  <si>
    <t xml:space="preserve">Item</t>
  </si>
  <si>
    <t xml:space="preserve">Move the llama.cpp pin to a newer release</t>
  </si>
  <si>
    <t xml:space="preserve">Recommendation</t>
  </si>
  <si>
    <t xml:space="preserve">Move to v0.6.0 with an output-parity test</t>
  </si>
  <si>
    <t xml:space="preserve">Your response</t>
  </si>
  <si>
    <t xml:space="preserve">Approve with changes</t>
  </si>
  <si>
    <t xml:space="preserve">Your choice or alternative</t>
  </si>
  <si>
    <t xml:space="preserve">v0.6.0, not b11474</t>
  </si>
  <si>
    <t xml:space="preserve">Your comments</t>
  </si>
  <si>
    <t xml:space="preserve">Run the parity test on gpt-oss-120b before the other engines</t>
  </si>
  <si>
    <t xml:space="preserve">Progress</t>
  </si>
  <si>
    <t xml:space="preserve">Sheet</t>
  </si>
  <si>
    <t xml:space="preserve">Items</t>
  </si>
  <si>
    <t xml:space="preserve">Approve</t>
  </si>
  <si>
    <t xml:space="preserve">Reject</t>
  </si>
  <si>
    <t xml:space="preserve">Defer</t>
  </si>
  <si>
    <t xml:space="preserve">Need more info</t>
  </si>
  <si>
    <t xml:space="preserve">Done</t>
  </si>
  <si>
    <t xml:space="preserve">Answered</t>
  </si>
  <si>
    <t xml:space="preserve">Outstanding</t>
  </si>
  <si>
    <t xml:space="preserve">1 Decisions</t>
  </si>
  <si>
    <t xml:space="preserve">2 Named models</t>
  </si>
  <si>
    <t xml:space="preserve">3 Persona allocation</t>
  </si>
  <si>
    <t xml:space="preserve">4 Companions</t>
  </si>
  <si>
    <t xml:space="preserve">5 Structure changes</t>
  </si>
  <si>
    <t xml:space="preserve">6 Baseline open items</t>
  </si>
  <si>
    <t xml:space="preserve">7 Node tests</t>
  </si>
  <si>
    <t xml:space="preserve">Total</t>
  </si>
  <si>
    <t xml:space="preserve">Sources (in the repository)</t>
  </si>
  <si>
    <t xml:space="preserve">reports/ATLAS specialist LLM arsenal.md (2026-10-15) and research_notes/ATLAS specialist LLM arsenal/</t>
  </si>
  <si>
    <t xml:space="preserve">reports/Lucebox engine and memory hierarchy.md (2026-10-15) and research_notes/Lucebox engine and memory hierarchy/</t>
  </si>
  <si>
    <t xml:space="preserve">reports/ATLAS LLM roster refresh 2026.md (2026-10-13, addendum 2026-10-14) and research_notes/ATLAS LLM roster refresh 2026/</t>
  </si>
  <si>
    <t xml:space="preserve">docs/ATLAS_FRAMEWORK_REVIEW.md v0.3.5 and docs/ATLAS_BUILD_BASELINE.xlsx (the baseline and its workbook)</t>
  </si>
  <si>
    <t xml:space="preserve">Decisions</t>
  </si>
  <si>
    <t xml:space="preserve">Decisions the Principal must make before the structure is amended. Work this sheet first: sheets 2 to 5 depend on it.</t>
  </si>
  <si>
    <t xml:space="preserve">Area</t>
  </si>
  <si>
    <t xml:space="preserve">Decision required</t>
  </si>
  <si>
    <t xml:space="preserve">Options</t>
  </si>
  <si>
    <t xml:space="preserve">Why (evidence)</t>
  </si>
  <si>
    <t xml:space="preserve">Priority</t>
  </si>
  <si>
    <t xml:space="preserve">Depends on</t>
  </si>
  <si>
    <t xml:space="preserve">Source</t>
  </si>
  <si>
    <t xml:space="preserve">D-01</t>
  </si>
  <si>
    <t xml:space="preserve">llama.cpp pin</t>
  </si>
  <si>
    <t xml:space="preserve">Move the node's llama.cpp off v0.4.1 (commit b29c606, build tag b10964, 2026-09-14), and to which build?</t>
  </si>
  <si>
    <t xml:space="preserve">(a) keep v0.4.1: GLM-5.3-Flash, EmbeddingGemma 2 and K2-Horizon cannot load, Flash-Next runs an incomplete Vulkan path; (b) v0.6.0 (2026-10-05): GLM (#27773), Flash-Next MTP (#29761) and hyper-connection ops (#28988), Nemotron MTP (#29018), MiMo (#29257), rerank batch fix (#28876), Vulkan fixes; (c) b11474 (2026-10-07): (b) plus EmbeddingGemma 2, K2-Horizon and GLM MTP (#29928); (d) newest b11643 (2026-10-15).</t>
  </si>
  <si>
    <t xml:space="preserve">(c) b11474, or (b) v0.6.0 if EmbeddingGemma 2 (b11452), K2-Horizon (b11454) and GLM MTP (b11474) are not needed. Only the arsenal report recommends a re-pin (b11474 or v0.6.0); the roster research lists what a post-pin build would add but recommends no re-pin. Adopt only after the output-parity test T-02; b11330 is the floor for Flash-Next. It changes every engine's behaviour, so it needs explicit approval.</t>
  </si>
  <si>
    <t xml:space="preserve">GLM-5.3-Flash, the arsenal's main engine, needs glm5-next (b11279 / v0.6.0), and under the new rules most strong candidates and several speed and retrieval fixes are post-pin. Vulkan correctness fixes after the pin include #28956 (wrong KV rows without flash attention) and FA fixes #29591 / #29988. No build yet has a llama-server TTS endpoint (PR #26603).</t>
  </si>
  <si>
    <t xml:space="preserve">Before any change</t>
  </si>
  <si>
    <t xml:space="preserve">T-02</t>
  </si>
  <si>
    <t xml:space="preserve">Arsenal report Inputs L97; Arsenal CR G1 (L40-69). Roster report Addendum L126; Roster gap_closure L363, L415-L425.</t>
  </si>
  <si>
    <t xml:space="preserve">D-02</t>
  </si>
  <si>
    <t xml:space="preserve">Top seats: precision versus quality</t>
  </si>
  <si>
    <t xml:space="preserve">Which engine leads the top seats: GLM-5.3-Flash at a lossy 4-bit rung, or DeepSeek-V4-Flash-0731 at a lossless rung?</t>
  </si>
  <si>
    <t xml:space="preserve">(a) GLM-5.3-Flash UD-IQ4_XS 156.82 GB / 146.05 GiB (KLD 0.117, 88.2% top-1) for its board lead; (b) DeepSeek-V4-Flash-0731 UD-Q8_K_XL 161.87 GB / 150.75 GiB (bit-exact) and accept the lower index score; (c) decide per seat after the node KLD run.</t>
  </si>
  <si>
    <t xml:space="preserve">(c): run the KLD test T-03 first; meanwhile professional-knowledge and long-context seats default to GLM, and reasoning and Apex seats to the lossless V4-Flash.</t>
  </si>
  <si>
    <t xml:space="preserve">GLM leads in-envelope (AA 41.8 vs 34.3; LegalBench 83.93%, Finance Agent v2 57.85%, MedScribe 88.94%, AA-LCR 80.0), but every board score is full precision, and hard reasoning amplifies quantisation loss 3-10x (a 3.5-bit GLM lost 1.4 MMLU-Pro and 4.9 maths points). The roster research rejected GLM as 3-bit only (UD-Q3_K_XL 147.54 GB); the arsenal research found the IQ4_XS rung and governs LLM seats.</t>
  </si>
  <si>
    <t xml:space="preserve">D-01 (GLM cannot load at v0.4.1); T-03</t>
  </si>
  <si>
    <t xml:space="preserve">Arsenal report Inputs L96, quantisation rule L72. Roster report L35, L56, L86.</t>
  </si>
  <si>
    <t xml:space="preserve">D-03</t>
  </si>
  <si>
    <t xml:space="preserve">Licence: Qwen3.8-Flash-Next</t>
  </si>
  <si>
    <t xml:space="preserve">Accept the Qwen Community License 1.0 for Qwen3.8-Flash-Next?</t>
  </si>
  <si>
    <t xml:space="preserve">(a) accept; (b) reject and drop Flash-Next (runner-up for Ren and Victor, Deep Think third opinion).</t>
  </si>
  <si>
    <t xml:space="preserve">(a) accept: internal use is exempt.</t>
  </si>
  <si>
    <t xml:space="preserve">Flash-Next is AA 39.8 (second of the twelve) and its UD-Q6_K_XL (169.17 GB / 157.55 GiB) is KLD 0.0271 against 0.0266 for its own Q8_0. Both research rounds read the licence.</t>
  </si>
  <si>
    <t xml:space="preserve">Arsenal report Inputs L98, verdict row 7 (L48). Roster report Addendum L130.</t>
  </si>
  <si>
    <t xml:space="preserve">D-04</t>
  </si>
  <si>
    <t xml:space="preserve">Licence: Nemotron 3 Super</t>
  </si>
  <si>
    <t xml:space="preserve">Accept the NVIDIA Nemotron Open Model License for Nemotron 3 Super?</t>
  </si>
  <si>
    <t xml:space="preserve">(a) accept; (b) reject and drop Nemotron 3 Super (long-context utility, long-document runner-up).</t>
  </si>
  <si>
    <t xml:space="preserve">(a) accept.</t>
  </si>
  <si>
    <t xml:space="preserve">Licence text (2025-12-15): commercial use and derivatives allowed, no claim on outputs, no safety or acceptable-use clause; redistribution needs the licence and an NVIDIA notice; terminates on patent or copyright litigation. engines.json L90 still marks it unverified. It also makes an abliterated Nemotron licence-compatible for private use.</t>
  </si>
  <si>
    <t xml:space="preserve">Arsenal report Inputs L98; Arsenal CR G5 (L134-141). Roster gap_closure L403-L413.</t>
  </si>
  <si>
    <t xml:space="preserve">D-05</t>
  </si>
  <si>
    <t xml:space="preserve">Licence: OpenMDW-1.1</t>
  </si>
  <si>
    <t xml:space="preserve">Accept OpenMDW-1.1 for Nemotron 3 Diarization and, if chosen, the Nemotron-3-Embed-8B embedder?</t>
  </si>
  <si>
    <t xml:space="preserve">(a) accept; (b) reject: keep pyannote (community-1) for diarisation and a Qwen3 embedder.</t>
  </si>
  <si>
    <t xml:space="preserve">Nemotron 3 Diarization is the best open diariser on the only same-harness comparison (OpenBench average DER 0.19 vs pyannote community-1 0.28); Nemotron-3-Embed-8B leads RTEB (75.45).</t>
  </si>
  <si>
    <t xml:space="preserve">Arsenal report Inputs L98, verdict row 12 (L53).</t>
  </si>
  <si>
    <t xml:space="preserve">D-06</t>
  </si>
  <si>
    <t xml:space="preserve">Uncensored: Mistral Large 2 Uncensored</t>
  </si>
  <si>
    <t xml:space="preserve">Reject the named Ollama build gdisney/mistral-large-uncensored?</t>
  </si>
  <si>
    <t xml:space="preserve">(a) reject; (b) reject it but admit the weight-edited XORTRON (2411 Heretic) Q8_0 130.28 GB / 121.33 GiB at about 1.7 tok/s; (c) admit the named Q4_0 build 69.08 GB / 64.34 GiB.</t>
  </si>
  <si>
    <t xml:space="preserve">(a) reject; (b) only if the Principal wants the Mistral lineage and accepts about 1.7 tok/s.</t>
  </si>
  <si>
    <t xml:space="preserve">The artefact is stock Mistral-Large-2407 at legacy Q4_0 plus a system prompt that instructs misinformation, under the research and non-commercial MRL licence; stock 2411 already scores UGI W/10 7.5 with no prompt. Mistral Large 3 (Apache 2.0) fits only at 1 bit (UD-TQ1_0 157.03 GiB).</t>
  </si>
  <si>
    <t xml:space="preserve">Arsenal report Inputs L98, L100, verdict row 6 (L47); Arsenal CR G6 (L143-151).</t>
  </si>
  <si>
    <t xml:space="preserve">D-07</t>
  </si>
  <si>
    <t xml:space="preserve">Uncensored: Valerie's default engine</t>
  </si>
  <si>
    <t xml:space="preserve">Which uncensored engine is Valerie's default for cyber and AEGIS work (Alaric shares it)?</t>
  </si>
  <si>
    <t xml:space="preserve">(a) MiMo-V2.6-Flash uncensored (dealignai RL-UNCENSORED, AliceThirty MXFP4 168.42 GB / 156.85 GiB, MIT, about 18 tok/s); (b) gpt-oss-120b Derestricted Q8_0 124.30 GB / 115.76 GiB (Apache 2.0, about 37-39 tok/s projected); (c) keep the current huihui/noctrex gpt-oss file (the roster research's choice).</t>
  </si>
  <si>
    <t xml:space="preserve">(a) MiMo uncensored, after the re-pin and the load test T-09; (b) is the fallback.</t>
  </si>
  <si>
    <t xml:space="preserve">Its base leads Vals CyberBench among open models (75.36%), and it is the only large 2026 uncensored build with published retention (MMLU 83.41% vs base 83.56%; HarmBench compliance 99.69%, thinking off). It fits with about 7 GiB spare only if companions do not cut the ~164 GiB budget (D-14). Contradiction: the roster research says MiMo needs a pin after 2026-09-22 (#29257); the arsenal review (C6) found the mimo2 runtime already in v0.4.1 and only the converter later, so loading at the pin is plausible but untested.</t>
  </si>
  <si>
    <t xml:space="preserve">D-01; T-09; T-10</t>
  </si>
  <si>
    <t xml:space="preserve">Arsenal report Inputs L99, uncensored L82; Arsenal CR G4 (L123-128), C6 (L235). Roster report L38; Roster gap_closure L378, L463.</t>
  </si>
  <si>
    <t xml:space="preserve">D-08</t>
  </si>
  <si>
    <t xml:space="preserve">Uncensored: explicit-override seat</t>
  </si>
  <si>
    <t xml:space="preserve">Which build serves the explicit-override uncensored seat behind Ren's and Arthur's uncensored prefixes?</t>
  </si>
  <si>
    <t xml:space="preserve">(a) ArliAI gpt-oss-120b Derestricted Q8_0 124.30 GB / 115.76 GiB; (b) Derestricted MXFP4_MOE (gghfez) 63.39 GB / 59.03 GiB; (c) keep the current huihui v2 / noctrex MXFP4_MOE file; (d) abliterated Qwen3.5-122B-A10B Q8_0 129.87 GB / 120.95 GiB (mradermacher or wangzhang v2; the roster research's pick).</t>
  </si>
  <si>
    <t xml:space="preserve">(a) Derestricted Q8_0; (d) only as a second option after a node refusal and KLD check (T-10).</t>
  </si>
  <si>
    <t xml:space="preserve">Derestricted raises UGI NatInt above base (35.70 vs 33.68) where the huihui abliteration fell to 16.72; Apache 2.0; a Q8_0 of the edited BF16 keeps the edited experts near BF16, while re-quantising to MXFP4 adds fresh error. The 122B builds have no refusal or quality data (Heretic and huihui cost KLD about 0.06 on Qwen3.5-27B), and the arsenal governs LLM seats.</t>
  </si>
  <si>
    <t xml:space="preserve">D-21 (Qwen3.5-122B kept or not); T-10</t>
  </si>
  <si>
    <t xml:space="preserve">Arsenal report Inputs L99, uncensored L82; Arsenal CR G4 (L118-122). Roster report L80, L110, Addendum L140; Roster gap_closure L392.</t>
  </si>
  <si>
    <t xml:space="preserve">D-09</t>
  </si>
  <si>
    <t xml:space="preserve">Uncensored: retire the current abliterated file</t>
  </si>
  <si>
    <t xml:space="preserve">Retire the node's current abliterated engine (huihui v2 -&gt; noctrex MXFP4_MOE, key gpt-oss-120b-abliterated, 63.39 GB / 59.03 GiB)?</t>
  </si>
  <si>
    <t xml:space="preserve">(a) retire it and remove it from the Phase 3 pull; (b) keep it only until a replacement passes a node test (the roster research's choice); (c) keep it as a standing fallback.</t>
  </si>
  <si>
    <t xml:space="preserve">(a) retire it; (b) would pull 63 GB only to benchmark a file the arsenal does not use.</t>
  </si>
  <si>
    <t xml:space="preserve">No provenance card and no refusal, KL or benchmark data, and huihui's source repositories now return HTTP 401. The Heretic alternatives are worse than Derestricted (kldzj v2 KL 0.53 with 22/100 refusals; v1 0.92).</t>
  </si>
  <si>
    <t xml:space="preserve">D-07; D-08</t>
  </si>
  <si>
    <t xml:space="preserve">Arsenal report Inputs L99, uncensored L82, verdict row 10 (L51). Roster report L80, L108, Addendum L140; Roster gap_closure L349, L393, L455.</t>
  </si>
  <si>
    <t xml:space="preserve">D-10</t>
  </si>
  <si>
    <t xml:space="preserve">Persona and agent allocation map</t>
  </si>
  <si>
    <t xml:space="preserve">Adopt the per-persona allocation (sheet 3) as the new engine map?</t>
  </si>
  <si>
    <t xml:space="preserve">(a) adopt as given: GLM-5.3-Flash for Ren, Gideon, Silas, Helena, Victor, Minerva (primary), vision and long documents; V4-Flash for Arthur and the Apex; MiMo uncensored for Valerie and Alaric; Qwen3.5-4B for Eleanor; (b) adopt with seat changes the Principal names; (c) defer until the node tests.</t>
  </si>
  <si>
    <t xml:space="preserve">(a), with GLM's seats provisional until the KLD run T-03.</t>
  </si>
  <si>
    <t xml:space="preserve">GLM is the measured leader wherever a professional board exists, and under sequential operation every seat gets the full ~164 GiB, so co-residency no longer justifies a smaller engine for Ren; the cost is the 4-bit rung and the re-pin. It replaces gpt-oss-120b (Corporate) and Nemotron (Estate) as defaults (D-12, D-13).</t>
  </si>
  <si>
    <t xml:space="preserve">D-01; D-02</t>
  </si>
  <si>
    <t xml:space="preserve">Arsenal report allocation L13-34. Roster report core seats L66-L67.</t>
  </si>
  <si>
    <t xml:space="preserve">D-11</t>
  </si>
  <si>
    <t xml:space="preserve">Apex / TF_OMEGA engine and rung</t>
  </si>
  <si>
    <t xml:space="preserve">Keep DeepSeek-V4-Flash-0731 as the Apex / TF_OMEGA engine and move it from UD-Q4_K_XL to the lossless UD-Q8_K_XL?</t>
  </si>
  <si>
    <t xml:space="preserve">(a) UD-Q8_K_XL 161.87 GB / 150.75 GiB, bit-exact on all 1,328 tensors (unsloth/DeepSeek-V4-Flash-0731-GGUF); (b) keep UD-Q4_K_XL 155.10 GB / 144.44 GiB (KLD 0.0102, 96.28% same top token, about 11 tok/s); (c) GLM-5.3-Flash UD-IQ4_XS (AA 41.8, lossy) if the KLD run favours it; (d) K2-Horizon-375B IQ3_XXS 150.81 GiB (AA 31, needs b11454).</t>
  </si>
  <si>
    <t xml:space="preserve">(a) until the KLD run decides, with the fit confirmed by the Phase 3 KV measurement T-06. The arsenal, roster and Lucebox reports agree.</t>
  </si>
  <si>
    <t xml:space="preserve">Bit-exact, HLE 38.6, GPQA 90.8; the dsv4 cache is about 6,880 B/token, so UD-Q8_K_XL leaves about 13 GiB of ~164 GiB, not the 2 GiB Section 5.1 states (it read 161.9 GB as GiB and used the Arbiter's 327,680 B/token). No UD-Q6_K_XL exists, and unsloth/DeepSeek-V4-Flash-GGUF holds the preview, not 0731. Decode about 7 tok/s on mainline Vulkan (a floor; in-pin kernels unmeasured).</t>
  </si>
  <si>
    <t xml:space="preserve">D-02; T-03; T-06</t>
  </si>
  <si>
    <t xml:space="preserve">Arsenal report TF_OMEGA row L28, what changed L88; Arsenal CR C1 (L230). Roster report L68, L86, Addendum L128, L136. Lucebox report Inputs row 1 (L392).</t>
  </si>
  <si>
    <t xml:space="preserve">D-12</t>
  </si>
  <si>
    <t xml:space="preserve">gpt-oss-120b role</t>
  </si>
  <si>
    <t xml:space="preserve">Confirm dropping gpt-oss-120b as the Corporate default (Ren, Helena, Victor, Gideon, Minerva) and demote it to a fast utility, drafting and Sentinel-escalation engine?</t>
  </si>
  <si>
    <t xml:space="preserve">(a) demote; (b) keep it as the default resident engine (Section 6.3; the roster research's recommendation); (c) promote Qwen3.5-122B-A10B Q8_0 to the default (the roster's no-download fallback).</t>
  </si>
  <si>
    <t xml:space="preserve">(a) demote, and take the seat engines from D-10.</t>
  </si>
  <si>
    <t xml:space="preserve">AA 11.6 makes it a speed engine, not a quality seat; its 63.39 GB (59.03 GiB) earned the default only under co-residency, which the run-alone directive removes. It stays lossless at native MXFP4 and the fastest engine: 57-60 tok/s projected by the arsenal, 53.8-55.6 measured on 128 GB boxes (roster).</t>
  </si>
  <si>
    <t xml:space="preserve">Arsenal report directives L7, verdict row 9 (L50), what changed L88. Roster report L66, L82, Addendum L134.</t>
  </si>
  <si>
    <t xml:space="preserve">D-13</t>
  </si>
  <si>
    <t xml:space="preserve">Nemotron 3 Super role</t>
  </si>
  <si>
    <t xml:space="preserve">Confirm dropping Nemotron 3 Super Q8_0 as the Estate default (Arthur, Silas, Alaric) and keep it as a long-context utility?</t>
  </si>
  <si>
    <t xml:space="preserve">(a) keep it as the Estate default (the roster research's recommendation); (b) Arthur to DeepSeek-V4-Flash-0731 UD-Q8_K_XL, Nemotron kept as long-context utility and long-document runner-up; (c) keep it as default for Silas and Alaric only.</t>
  </si>
  <si>
    <t xml:space="preserve">(b).</t>
  </si>
  <si>
    <t xml:space="preserve">AA 12.8 against 34.3 for V4-Flash, its card discloses an HLE/GPQA contamination risk, and it has no MTP at the pin (#29018). It earns a place by a 1M-token context at tiny KV (about 44 GiB spare) and calibrated refusals (RefusalBench 0.4% benign refused, 89.3% of should-refuse refused). Its Q8_0 is 128.47 GB / 119.65 GiB, not 120-123 GB.</t>
  </si>
  <si>
    <t xml:space="preserve">D-10; T-12</t>
  </si>
  <si>
    <t xml:space="preserve">Roster report L67, L84; Roster gap_closure L380, L418, L451. Arsenal report verdict row 8 (L49).</t>
  </si>
  <si>
    <t xml:space="preserve">D-14</t>
  </si>
  <si>
    <t xml:space="preserve">Companion residency versus engine budget</t>
  </si>
  <si>
    <t xml:space="preserve">Where do the upgraded retrieval companions live, given that every GiB resident on the iGPU comes off every engine's budget?</t>
  </si>
  <si>
    <t xml:space="preserve">(a) Qwen3-Embedding-8B + Qwen3-Reranker-8B resident (7.49 + 7.49 GiB; budget about 150 GiB); (b) the 4B pair resident (about +6.7 GiB; budget about 157 GiB); (c) 8B embedder + 4B reranker (about +10.2 GiB); (d) load the retrieval pair on demand; (e) run it on the CPU; (f) keep bge-m3 + bge-reranker-v2-m3 (1.3 GiB) until the engine set is fixed.</t>
  </si>
  <si>
    <t xml:space="preserve">Choose companions and LLM rungs together. If MiMo stays Valerie's default (D-07) and Flash-Next stays at UD-Q6_K_XL, take (d) or (e); otherwise (b), the 4B pair the roster research named only as its alternative (its first pick, like the arsenal's, is the 8B pair (a)), with Flash-Next at UD-Q5_K_XL (D-28). Neither report sizes this fully; T-15 measures it.</t>
  </si>
  <si>
    <t xml:space="preserve">The Arbiter budgets pool minus the measured GPU resident set (6-8 GiB today) minus 16 GiB. At about 150 GiB, V4-Flash UD-Q8_K_XL (150.75), the 5-bit 235B-class rungs (150.76-150.84), Flash-Next UD-Q6_K_XL (157.55) and MiMo (156.85) stop fitting; at about 157 GiB Flash-Next and MiMo still do not. The 4B pair keeps most of the gain (MTEB multilingual 69.45 vs 70.58; MMTEB-R 72.74 vs 72.94; bge pair 59.56 / 58.36). A resident OCR model adds about 1.3-1.5 GiB.</t>
  </si>
  <si>
    <t xml:space="preserve">D-07; T-15</t>
  </si>
  <si>
    <t xml:space="preserve">Arsenal CR G9 (L194-204); Arsenal report companions L84. Roster report L75, L100; Roster gap_closure L73-L75.</t>
  </si>
  <si>
    <t xml:space="preserve">D-15</t>
  </si>
  <si>
    <t xml:space="preserve">Medical cross-check</t>
  </si>
  <si>
    <t xml:space="preserve">Replace Meditron-70B with Baichuan-M3-235B as Minerva's cross-check, and drop MedGemma-27B as the fallback?</t>
  </si>
  <si>
    <t xml:space="preserve">(a) Baichuan-M3 (mradermacher Q5_K_S 161.88 GB / 150.76 GiB, or official baichuan-inc Q4_K_M 143.78 GB / 133.91 GiB; Apache 2.0; 8-13 tok/s projected); (b) Apertus-70B-MeditronFO Q8_0 69.87 GiB (dense, about 3 tok/s); (c) keep Meditron-70B (about 74 GB, 4K context, about 3 tok/s); (d) MedGemma-27B Q8_0 28.71 GB (under the 70B floor).</t>
  </si>
  <si>
    <t xml:space="preserve">(a), with the rung set by D-16; drop (d). GLM stays Minerva's primary.</t>
  </si>
  <si>
    <t xml:space="preserve">Meditron is a 2023 Llama-2-70B continued pre-train with no instruction tuning (52.9% on an independent 2026 neurology exam, lowest of the 70B models); Apertus-MeditronFO averages 53.77. Baichuan-M3 has an official GGUF and vendor HealthBench 65.1 / Hard 44.4 (gpt-oss-120b 57.6 / 30.0) but no independent score, so T-11 checks it.</t>
  </si>
  <si>
    <t xml:space="preserve">D-16; T-11</t>
  </si>
  <si>
    <t xml:space="preserve">Arsenal report Minerva row L23, what changed L88; Arsenal CR section 5 (L262). Roster report L71, L96, Addendum L132, L140; Roster gap_closure L390, L431.</t>
  </si>
  <si>
    <t xml:space="preserve">D-16</t>
  </si>
  <si>
    <t xml:space="preserve">Context targets: medical and science seats</t>
  </si>
  <si>
    <t xml:space="preserve">What context must the medical cross-check (Baichuan-M3) and the science seat (Intern-S1) support?</t>
  </si>
  <si>
    <t xml:space="preserve">(a) Q5_K_S (Baichuan 150.76 GiB, Intern-S1 150.84 GiB): about 23K context after a 9 GiB allowance; (b) Q4_K_M (Baichuan official 133.91 GiB, Intern-S1 132.86 GiB) for longer context.</t>
  </si>
  <si>
    <t xml:space="preserve">State a target context per seat: Q5_K_S if about 20-23K tokens is enough, Q4_K_M otherwise.</t>
  </si>
  <si>
    <t xml:space="preserve">These Qwen3-235B-shaped engines carry about 188 KiB/token of f16 KV (192,512 B); 5-bit is near reference (+0.63-0.75% PPL), while 4-bit costs 3.7-5.0 points on AIME and GPQA. GLM, Flash-Next, Nemotron and V4-Flash reach their native windows.</t>
  </si>
  <si>
    <t xml:space="preserve">Arsenal report Inputs L102, quantisation table L69. Roster gap_closure L390.</t>
  </si>
  <si>
    <t xml:space="preserve">D-17</t>
  </si>
  <si>
    <t xml:space="preserve">Science seat</t>
  </si>
  <si>
    <t xml:space="preserve">Add Intern-S1 as the science engine for domains 15, 35 and 36 (Minerva; Valerie with Minerva)?</t>
  </si>
  <si>
    <t xml:space="preserve">(a) add Intern-S1 (bartowski Q5_K_S 161.96 GB / 150.84 GiB) as an override engine; (b) leave science on GLM-5.3-Flash.</t>
  </si>
  <si>
    <t xml:space="preserve">(a).</t>
  </si>
  <si>
    <t xml:space="preserve">Vendor ChemBench 83.4, MatBench 75.0, ProteinLMBench 63.1 (no independent board); Apache 2.0; qwen3moe at the pin; 10-13 tok/s projected. It carries the Qwen3-235B lineage forward; Intern-S2-397B fits only at 2 bits.</t>
  </si>
  <si>
    <t xml:space="preserve">Arsenal report science row L31, what changed L88; Arsenal CR G7 (L153-166).</t>
  </si>
  <si>
    <t xml:space="preserve">D-18</t>
  </si>
  <si>
    <t xml:space="preserve">Finance seat</t>
  </si>
  <si>
    <t xml:space="preserve">Add Ling-3.0-flash-Fin as Silas's finance-tuned, lossless second engine?</t>
  </si>
  <si>
    <t xml:space="preserve">(a) add Ling-3.0-flash-Fin Q8_0 135.63 GB / 126.32 GiB as Silas's override or second opinion; (b) GLM-5.3-Flash only.</t>
  </si>
  <si>
    <t xml:space="preserve">(a), with GLM kept as Silas's primary.</t>
  </si>
  <si>
    <t xml:space="preserve">Finance Agent v2 54.93% against GLM's 57.85%, but lossless Q8_0 inside the pin at 22.6-30.2 tok/s projected (corrected for C7; no gfx1151 measurement); MIT. LegalBench 68.74% and AA 23 make it a finance engine, not a general CFO engine.</t>
  </si>
  <si>
    <t xml:space="preserve">Arsenal report Silas row L20, what changed L88; verification_other_large_specialists rows 3-6.</t>
  </si>
  <si>
    <t xml:space="preserve">D-19</t>
  </si>
  <si>
    <t xml:space="preserve">Coder seat</t>
  </si>
  <si>
    <t xml:space="preserve">Add a dedicated coder seat with Qwen3-Coder-Next, at which rung, and confirm dropping Qwen3.8-27B?</t>
  </si>
  <si>
    <t xml:space="preserve">(a) Qwen3-Coder-Next Q8_0 84.81 GB / 78.99 GiB (37-44 tok/s projected); (b) BF16 159.46 GB / 148.51 GiB (unquantised, 256K context, about 9 tok/s projected on Vulkan); (c) no dedicated seat, GLM-5.3-Flash covers coding; (d) Qwen3.8-27B Q8_0 29.05 GB co-resident (the roster research's pick, now under the 70B floor).</t>
  </si>
  <si>
    <t xml:space="preserve">Drop (d). (a) if a dedicated seat is wanted; (b) only if unquantised weights are worth a fourfold speed loss; otherwise (c).</t>
  </si>
  <si>
    <t xml:space="preserve">Coder-Next is just above the floor (79.7B total, 3B active) and inside the pin; vendor SWE-bench Verified 70.6-71.3 and Aider polyglot 66.2, but AA 9.24, and GLM beats it on SWE-bench (92%, Vals). Fixed-harness runs put open models 15-20 points below vendor tables. Its Apache 2.0 rests on the card (LICENSE file missing). The arsenal table lists BF16, its verdict calls Q8_0 practical.</t>
  </si>
  <si>
    <t xml:space="preserve">Arsenal report coder row L32, verdict row 4 (L45), quantisation table L67. Roster report L70, L90, Addendum L128, L134; Roster gap_closure L61-L63, L412.</t>
  </si>
  <si>
    <t xml:space="preserve">D-20</t>
  </si>
  <si>
    <t xml:space="preserve">Vision engine</t>
  </si>
  <si>
    <t xml:space="preserve">Which engine becomes the single vision engine now that it need not pair, and is the co-resident light vision tier dropped?</t>
  </si>
  <si>
    <t xml:space="preserve">(a) GLM-5.3-Flash + glm5v mmproj (UD-IQ4_XS + 0.65 GB; needs the re-pin); (b) Qwen3-VL-235B Q5_K_S 161.88 GB / 150.76 GiB + 1.16 GB mmproj (at the pin); (c) Flash-Next UD-Q6_K_XL + 0.62 GB mmproj; (d) Qwen3.5-122B-A10B Q8_0 + mmproj-BF16 (the roster's at-pin pick); (e) keep Qwen2.5-VL-72B Q8_0 79 GB; (f) a 27-31B co-resident light tier (Qwen3.8-27B or Gemma 4 31B, under the 70B floor).</t>
  </si>
  <si>
    <t xml:space="preserve">(a) after the re-pin, (b) if the pin stays at v0.4.1; drop (e) and (f). A small OCR companion (C-04) transcribes scanned documents.</t>
  </si>
  <si>
    <t xml:space="preserve">GLM is LMArena vision #23 (top open) and Vals MMMU 86.01%, and on its own unit vision costs no swap while GLM is resident; Qwen3-VL-235B is OmniDocBench 89.78; Qwen2.5-VL-72B is MMMU 70.2 at about 3 tok/s. The light tier existed only to pair with gpt-oss (Qwen3.8-27B 29.05 GB, Gemma 4 31B 32.64 GB; MMMU-Pro 76.3 / 73.4).</t>
  </si>
  <si>
    <t xml:space="preserve">D-01; T-17</t>
  </si>
  <si>
    <t xml:space="preserve">Arsenal report vision row L29, what changed L88; Arsenal CR G3 (L93-104). Roster report L72, L88, L98, Addendum L134; Roster gap_closure L430, L444.</t>
  </si>
  <si>
    <t xml:space="preserve">D-21</t>
  </si>
  <si>
    <t xml:space="preserve">Engines leaving the core set</t>
  </si>
  <si>
    <t xml:space="preserve">Retire Qwen2.5-VL-72B, Meditron-70B and Qwen3.5-122B-A10B from the roster and the Phase 3 pull?</t>
  </si>
  <si>
    <t xml:space="preserve">(a) retire all three: vision to D-20, cross-check to Baichuan-M3, long documents to GLM (Nemotron Q8_0 runner-up); (b) keep Qwen3.5-122B-A10B Q8_0 MTP build (132.55 GB / 123.45 GiB) + mmproj as an at-pin long-document and vision fallback until GLM runs on an approved pin (the roster research's pick); (c) keep any of them on disk as a fallback.</t>
  </si>
  <si>
    <t xml:space="preserve">None is in the arsenal's ten-engine set, and their seats are reassigned (GLM AA-LCR 80.0, MRCR 128K 62.9). Qwen3.5-122B scores AA 16 against GLM's 41.8, and the arsenal covers the at-pin case with Qwen3-VL-235B (vision) and Nemotron (1M context). Retiring the 72B (79 GB) and Meditron (74 GB) also removes the gpt-oss + vision pairing. The arsenal report does not name Qwen3.5-122B; its retirement is inferred from the allocation.</t>
  </si>
  <si>
    <t xml:space="preserve">D-10; D-15; D-20</t>
  </si>
  <si>
    <t xml:space="preserve">Arsenal report allocation L29-30, sequential L78, what changed L88. Roster report L69, L71, L72, L88, L96, L98; Roster gap_closure L374, L384, L430. FRAMEWORK_REVIEW 19 D10, D12.</t>
  </si>
  <si>
    <t xml:space="preserve">D-22</t>
  </si>
  <si>
    <t xml:space="preserve">Deep Think engine pair</t>
  </si>
  <si>
    <t xml:space="preserve">Replace the gpt-oss-120b generator and Nemotron adversary with a two-family GLM-5.3-Flash + DeepSeek-V4-Flash-0731 pair, Flash-Next as third opinion?</t>
  </si>
  <si>
    <t xml:space="preserve">(a) GLM and V4-Flash (Ren's and Arthur's engines), Flash-Next third opinion; (b) any two families among GLM, V4-Flash, MiMo and Flash-Next; (c) keep the baseline pair.</t>
  </si>
  <si>
    <t xml:space="preserve">Diversity comes free under sequential operation: two architectures and two training recipes for only swap latency (about 50-85 s per swap). AA HLE 39.9 / 38.6 and GPQA 91.2 / 90.8.</t>
  </si>
  <si>
    <t xml:space="preserve">Arsenal report Deep Think row L27, allocation points L34.</t>
  </si>
  <si>
    <t xml:space="preserve">D-23</t>
  </si>
  <si>
    <t xml:space="preserve">Default resident engine and batching</t>
  </si>
  <si>
    <t xml:space="preserve">Batch queued work by engine and keep the most-used engine (GLM-5.3-Flash) resident by default?</t>
  </si>
  <si>
    <t xml:space="preserve">(a) adopt: route a hemisphere's or persona's queued work to the resident engine before swapping, GLM resident by default; (b) keep gpt-oss-120b resident by default (Section 6.3).</t>
  </si>
  <si>
    <t xml:space="preserve">A resident 145-160 GiB engine leaves only about 10-25 GiB of page cache, so switching between two large engines is a full cold read (25-70 s; 50-85 s per swap realistic); fast engines (gpt-oss-120b 63.39 GB / 59.03 GiB, Nemotron 3 Super Q8_0 128.47 GB / 119.65 GiB) recover page cache.</t>
  </si>
  <si>
    <t xml:space="preserve">D-10; T-14</t>
  </si>
  <si>
    <t xml:space="preserve">Arsenal report sequential L76-78.</t>
  </si>
  <si>
    <t xml:space="preserve">D-24</t>
  </si>
  <si>
    <t xml:space="preserve">Slow dense engines and 3-bit rungs</t>
  </si>
  <si>
    <t xml:space="preserve">Exclude dense 70-123B engines and 3-bit-only engines from the primary arsenal?</t>
  </si>
  <si>
    <t xml:space="preserve">(a) exclude both classes; (b) admit a dense uncensored Mistral (XORTRON Q8_0) only on explicit request; (c) admit 3-bit engines (Llama 4 Maverick, Qwen3.5-397B UD-IQ3_XXS, K2-Horizon-375B IQ3_XXS, GLM-4.x).</t>
  </si>
  <si>
    <t xml:space="preserve">(a); (b) only if the Principal wants that lineage and accepts about 1.7 tok/s.</t>
  </si>
  <si>
    <t xml:space="preserve">Dense Mistral Large / XORTRON, Mistral Medium 3.5, Devstral 2 and Kimi-Dev decode at about 1.7-3.3 tok/s; 3-bit rungs sit in the risky band (KLD about 0.03-0.18, about 5 maths points lost). Intern-S2-397B fits only at 2 bits, Mistral Large 3 only at 1 bit, and Mistral Small 4 runs its experts on the CPU at the pin (0.82 tok/s).</t>
  </si>
  <si>
    <t xml:space="preserve">Arsenal report Inputs L100; Arsenal CR G6, G7 (L143-166). Roster report L37, L41, L52; Roster gap_closure L375, L379.</t>
  </si>
  <si>
    <t xml:space="preserve">D-25</t>
  </si>
  <si>
    <t xml:space="preserve">Baseline revision type</t>
  </si>
  <si>
    <t xml:space="preserve">Is the arsenal change recorded as a new baseline version that reopens closed decisions D4, D10 and D12 and supersedes C23, C25 and C26, or as Section 23 S-rows only?</t>
  </si>
  <si>
    <t xml:space="preserve">(a) v0.4.0 with new D-rows from D16, new C-rows from C28 and one S54 row for the script corrections; (b) v0.3.6 with S-rows only.</t>
  </si>
  <si>
    <t xml:space="preserve">Section 23 defines S-rows as corrections of literals that reopen no decision, while the arsenal replaces the D4 retrieval models, the D10 vision engine, the D12 Meditron inclusion and the C23, C25 and C26 resolutions. The header still reads 'Closed build baseline'.</t>
  </si>
  <si>
    <t xml:space="preserve">FRAMEWORK_REVIEW L11, L1142, C23-C26 L996-L999, D4-D12 L1011-L1019.</t>
  </si>
  <si>
    <t xml:space="preserve">D-26</t>
  </si>
  <si>
    <t xml:space="preserve">Day 1 scope of the change</t>
  </si>
  <si>
    <t xml:space="preserve">Does the amended structure go into Day 1, or does Day 1 run on the v0.3.5 roster and migrate afterwards?</t>
  </si>
  <si>
    <t xml:space="preserve">(a) amend everything before Day 1; (b) run Day 1 on v0.3.5 and migrate after; (c) amend the pin, roster, residency rule, Arbiter units and Phase 3 list before Day 1, and phase the specialist seats, slot save/restore, swap batching, the speech and image companions and the V4.1 trial after Day 1.</t>
  </si>
  <si>
    <t xml:space="preserve">(c).</t>
  </si>
  <si>
    <t xml:space="preserve">Nothing has been executed. v0.3.5 would pull about 690 GB (about 15 h at 100 Mbps), of which Qwen2.5-VL-72B (79 GB), Meditron-70B (74 GB) and the abliterated file (63 GB) are to be retired, and V21 would prove a pair production no longer runs; the orchestrator features are not needed to bring the node up.</t>
  </si>
  <si>
    <t xml:space="preserve">FRAMEWORK_REVIEW 17 Phase 3 step 1 (L945), 21 V21 (L1085); Arsenal report Inputs.</t>
  </si>
  <si>
    <t xml:space="preserve">D-27</t>
  </si>
  <si>
    <t xml:space="preserve">Workbook builder in the repository</t>
  </si>
  <si>
    <t xml:space="preserve">Commit the builder that produces docs/ATLAS_BUILD_BASELINE.xlsx to the repository before the amendment?</t>
  </si>
  <si>
    <t xml:space="preserve">(a) commit it beside scripts/day1/tools/fill-workbook.py; (b) keep it outside the repository.</t>
  </si>
  <si>
    <t xml:space="preserve">The builder exists only in a session scratchpad (r54/build.py); every baseline change since v0.3.4 rebuilt the workbook from it, and this change touches at least eleven of its fifteen sheets.</t>
  </si>
  <si>
    <t xml:space="preserve">scratchpad r54/build.py L207-L245; docs/ATLAS_BUILD_BASELINE.xlsx (15 sheets).</t>
  </si>
  <si>
    <t xml:space="preserve">D-28</t>
  </si>
  <si>
    <t xml:space="preserve">Qwen3.8-Flash-Next file</t>
  </si>
  <si>
    <t xml:space="preserve">Which Qwen3.8-Flash-Next file is pulled?</t>
  </si>
  <si>
    <t xml:space="preserve">(a) unsloth UD-Q6_K_XL 169.17 GB / 157.55 GiB (KLD 0.0271), about 6.5 GiB left for KV; (b) ggml-org Q8_0 162.62 GB / 151.46 GiB: its header is already read (per_layer_token_embd, the n-gram table, at Q4_0 = 28.80 GB; every other matrix Q8_0), so only its KLD is unmeasured (T-08); (c) unsloth UD-Q5_K_XL 158.29 GB / 147.42 GiB, more room for context and companions; (d) do not adopt it. The unsloth Q8_0 (188.23 GB / 175.30 GiB) does not fit.</t>
  </si>
  <si>
    <t xml:space="preserve">(a), unless T-08 shows the ggml-org Q8_0 is near-lossless; (c) if D-14 or a long context leaves no room for (a).</t>
  </si>
  <si>
    <t xml:space="preserve">UD-Q6_K_XL matches its own Q8_0 (KLD 0.0271 vs 0.0266); the roster research had found no in-budget file meeting the precision rule. AA 39.8, GPQA 92.3, Terminal-Bench 2.1 86.1. MTP (#29761) and the Vulkan hyper-connection ops (#28988) are post-pin: measured only at UD-IQ4_XS on 128 GB Ryzen AI Max+ 395 boxes: 26.9-27.2 tok/s without MTP (the roster infers v0.4.1 gets this) and 41.3 with MTP on PR #28243 fork builds; nothing is measured at UD-Q6_K_XL (23-29 tok/s projected).</t>
  </si>
  <si>
    <t xml:space="preserve">Before Day 1</t>
  </si>
  <si>
    <t xml:space="preserve">D-01; D-03; D-14; T-08</t>
  </si>
  <si>
    <t xml:space="preserve">Arsenal report verdict row 7 (L48). Roster report Addendum L126, L128, L130, L136; Roster gap_closure L373, L374, L396.</t>
  </si>
  <si>
    <t xml:space="preserve">D-29</t>
  </si>
  <si>
    <t xml:space="preserve">KV cache precision for every seat</t>
  </si>
  <si>
    <t xml:space="preserve">Which KV cache type does each seat run under the less-quantisation rule, including the Apex ladder?</t>
  </si>
  <si>
    <t xml:space="preserve">(a) f16 where the cache is cheap (GLM 19,712 B/token, V4-Flash about 6,880 B/token), q8_0 elsewhere, q4_0 nowhere; the Apex ladder keeps the highest-precision rung that fits its target context (f16, else q8_0); (b) keep today's split: q4_0 for gpt-oss-120b and its abliterated twin, an Apex ladder descending to a q4_0 target; (c) q8_0 everywhere.</t>
  </si>
  <si>
    <t xml:space="preserve">(a), approved before Day 1 with GLM's KV type provisional until T-04.</t>
  </si>
  <si>
    <t xml:space="preserve">q8_0 K and V is task-lossless (mean KLD 0.0018, at most 4 of 500 ARC answers changed); q4_0 on K collapsed Qwen2.5-7B from 92.0% to 24.2% on ARC, and gpt-oss-20b fell from 37.9% to 21.7% on AIME25 with a q4_0 cache even with Hadamard rotation, which MLA models such as V4 do not get (#21038). GLM at 8 x 32K in f16 needs about 4.8 GiB; GLM on Vulkan may need -fa off, which rules out a quantised cache for it. q4_0 was chosen only for co-residency headroom.</t>
  </si>
  <si>
    <t xml:space="preserve">D-01; D-11; T-04; T-05</t>
  </si>
  <si>
    <t xml:space="preserve">Roster report L21, L68, Addendum L136. Arsenal report what changed L88; Arsenal CR G2. FRAMEWORK_REVIEW 4.3 L264-L270, App B L1244; engines.json L25, L57, L147-L148.</t>
  </si>
  <si>
    <t xml:space="preserve">D-30</t>
  </si>
  <si>
    <t xml:space="preserve">Reasoning mode per seat</t>
  </si>
  <si>
    <t xml:space="preserve">Which thinking or reasoning-effort setting does each LLM seat run (MiMo uncensored, GLM-5.3-Flash, DeepSeek-V4-Flash, Flash-Next, gpt-oss-120b), given that the research's quality and refusal figures depend on it?</t>
  </si>
  <si>
    <t xml:space="preserve">(a) each engine's vendor default, recorded in engines.json with its sampling; (b) a fixed setting per seat chosen after the refusal and KLD tests; (c) chosen per task tier by the router.</t>
  </si>
  <si>
    <t xml:space="preserve">Derived, no source recommends a setting: (b), recorded with the vendor sampling in each engines.json entry (S-19). Measure MiMo uncensored with thinking off and on in T-10 before fixing Valerie's mode.</t>
  </si>
  <si>
    <t xml:space="preserve">MiMo uncensored complies 99.69% with thinking off but 90.94% with thinking on; the stock DeepSeek-V4 UGI figure is with reasoning off; gpt-oss-120b's GPQA 80.1 is at high effort; Qwen3-Coder-Next is non-thinking only. S-19 names vendor sampling but no row decides the mode.</t>
  </si>
  <si>
    <t xml:space="preserve">D-10; T-10</t>
  </si>
  <si>
    <t xml:space="preserve">Arsenal report uncensored L82; Arsenal CR G4 (L113, L124), section 2 (L28). Roster report L82.</t>
  </si>
  <si>
    <t xml:space="preserve">D-31</t>
  </si>
  <si>
    <t xml:space="preserve">Arbiter footprint units</t>
  </si>
  <si>
    <t xml:space="preserve">Should the Arbiter budget each engine from its exact file size in GiB instead of reading the decimal GB figure as GiB?</t>
  </si>
  <si>
    <t xml:space="preserve">(a) exact bytes from the Hugging Face tree (already read into MANIFEST.json at pull time) converted to GiB; (b) keep reading footprint_gb as GiB; (c) a hand-typed footprint_gib field per engine.</t>
  </si>
  <si>
    <t xml:space="preserve">config.py reads footprint_gb as GiB, a deliberate 7.4% over-estimate: harmless at 63-130 GB files, binding at 150-158 GiB (about 11 GiB at 150 GiB, more than the cache margin of the large seats). MiMo (168.42 GB) and Flash-Next UD-Q6_K_XL (169.17 GB) would be projected at 168-169 GiB and refused against ~164 GiB, and V4-Flash UD-Q8_K_XL (161.87 GB) would keep about 2 GiB where it has about 13.</t>
  </si>
  <si>
    <t xml:space="preserve">config.py L322-L331; FRAMEWORK_REVIEW 5.1 L317. Roster report L86; Roster baseline notes L149. Arsenal report allocation table.</t>
  </si>
  <si>
    <t xml:space="preserve">D-32</t>
  </si>
  <si>
    <t xml:space="preserve">Residency under sequential operation</t>
  </si>
  <si>
    <t xml:space="preserve">Does the Arbiter allow exactly one LLM seat resident at a time, or keep two-engine residency where a pair happens to fit?</t>
  </si>
  <si>
    <t xml:space="preserve">(a) one weight-bearing LLM seat resident, the always-resident companions excluded; (b) keep MAX_RESIDENT = 2 for pairs that fit (for example gpt-oss-120b at 59 GiB beside Qwen3-Coder-Next Q8_0 at 79 GiB) and run the 300B-class seats exclusive.</t>
  </si>
  <si>
    <t xml:space="preserve">(a), with the residency limit made a setting so (b) can return without a code change.</t>
  </si>
  <si>
    <t xml:space="preserve">The directive is that every engine runs alone with the whole ~164 GiB. Every primary seat is 146-157 GiB, so a pair could form only between the two smaller utility engines, and keeping C26 would keep a V21 test and co-resident profile code for a case the map barely uses.</t>
  </si>
  <si>
    <t xml:space="preserve">arbiter.py L11, L123, L916-L940; FRAMEWORK_REVIEW 4.2 rule 3 L252, C26 L999.</t>
  </si>
  <si>
    <t xml:space="preserve">D-33</t>
  </si>
  <si>
    <t xml:space="preserve">Phase 3 decode gate</t>
  </si>
  <si>
    <t xml:space="preserve">How does V10 judge decode speed for engines whose bands are only projections, and which engine failures may defer without blocking the Phase 3 gate?</t>
  </si>
  <si>
    <t xml:space="preserve">(a) keep the fail below each band's lower bound, with bands re-based on the research projections; (b) gate on load, KV proof, generation and memory release, record decode against the projection, and fail only below a per-seat floor the Principal sets; (c) (b) plus a deferrable V22-style row for every post-pin architecture (GLM glm5-next, MiMo, Flash-Next).</t>
  </si>
  <si>
    <t xml:space="preserve">(c), with the per-seat floors set alongside the deep-tier floor (D-47).</t>
  </si>
  <si>
    <t xml:space="preserve">No candidate has a decode figure on the PRO 495 at any pin (GLM 12-14 projected from 17.4 at 3.84 bpw; V4-Flash UD-Q8_K_XL about 7 as a floor; Intern-S1 10-13; Baichuan-M3 8-13). The Apex band of 25-32 tok/s has no measurement behind it (only 2-3-bit runs exist, all on 128 GB Ryzen AI Max+ 395 boxes, none on the PRO 495: UD-IQ2_XXS 12.6-13.3 on stock Vulkan and 18.9 on a fork; UD-IQ3_XXS 11.9 on mainline b10488 and 18.4 on a fork), so a quality-first file would fail V10 on speed alone. R19 lets only the Apex (V22) defer today.</t>
  </si>
  <si>
    <t xml:space="preserve">D-01; D-47</t>
  </si>
  <si>
    <t xml:space="preserve">phase3-models.sh L33, L755; loadtest.py L238-L242; FRAMEWORK_REVIEW V10 L1074, V22 L1086, R19 L1039. Roster report L54; Roster gap_closure L354. Arsenal baseline item (gate policy).</t>
  </si>
  <si>
    <t xml:space="preserve">D-34</t>
  </si>
  <si>
    <t xml:space="preserve">Licences: the rest</t>
  </si>
  <si>
    <t xml:space="preserve">Accept and record the remaining licences the research verified, now or with each engine?</t>
  </si>
  <si>
    <t xml:space="preserve">(a) accept all now and record them in Section 16.5 and engines.json; (b) accept each with its engine as it is approved.</t>
  </si>
  <si>
    <t xml:space="preserve">(b). Items: DeepSeek V4-Flash MIT; MiMo MIT; Ling-3.0-flash-Fin MIT; Derestricted gpt-oss Apache 2.0; Baichuan-M3 and Intern-S1 Apache 2.0; Qwen3-Coder-Next Apache 2.0 on its card only (LICENSE file missing); pyannote community-1 CC-BY-4.0 (gated); HiDream-I1's Llama 3.1 text encoder. Flash-Next, Nemotron and OpenMDW are D-03 to D-05; the MRL rejection is D-06.</t>
  </si>
  <si>
    <t xml:space="preserve">Verified on 2026-10-14 and 2026-10-15, while engines.json still marks Nemotron and DeepSeek unverified; MedGemma's HAI-DEF gate falls away if MedGemma is dropped (D-15).</t>
  </si>
  <si>
    <t xml:space="preserve">D-03; D-04; D-05; D-06</t>
  </si>
  <si>
    <t xml:space="preserve">Roster report Addendum L130; Roster gap_closure L403-L413. Arsenal report Inputs L98, verdict table.</t>
  </si>
  <si>
    <t xml:space="preserve">D-35</t>
  </si>
  <si>
    <t xml:space="preserve">Licences: engines and companions not listed in D-34</t>
  </si>
  <si>
    <t xml:space="preserve">Accept and record the licences of the engines and companions the register recommends but D-34 does not name, including the main engine GLM-5.3-Flash?</t>
  </si>
  <si>
    <t xml:space="preserve">(a) fold them into D-34 and accept each with its engine as it is approved; (b) accept all now and record them in 16.5 and engines.json.</t>
  </si>
  <si>
    <t xml:space="preserve">(a). Items: GLM-5.3-Flash MIT (the arsenal's main engine); Qwen3-Embedding-8B/4B and Qwen3-Reranker-8B/4B Apache 2.0; Qwen3-VL-235B Apache 2.0 (vision runner-up); OCR candidates TeleOCR, OvisOCR2 and PaddleOCR-VL-1.6 Apache 2.0, GLM-OCR MIT; Qwen3-ASR-1.7B and Qwen3-TTS Apache 2.0; Chatterbox Turbo and Multilingual V3 MIT; Z-Image-Turbo and Qwen-Image-2512 Apache 2.0; EmbeddingGemma 2 Apache 2.0 if kept (D-60).</t>
  </si>
  <si>
    <t xml:space="preserve">D-34 lists DeepSeek, MiMo, Ling, Derestricted, Baichuan-M3, Intern-S1, Coder-Next, pyannote community-1 and HiDream only, so the licence of the engine that carries most seats, and every new companion, has no acceptance row; S-27 and S-45 record licences only for what a decision accepts.</t>
  </si>
  <si>
    <t xml:space="preserve">Arsenal report Inputs L98 (GLM, DeepSeek, MiMo MIT), verdict row 11 (L52). Arsenal CR section 2 (L35, EG2 Apache 2.0), G8 (L184-L188). Roster report Addendum L130.</t>
  </si>
  <si>
    <t xml:space="preserve">D-36</t>
  </si>
  <si>
    <t xml:space="preserve">Kernel GTT line</t>
  </si>
  <si>
    <t xml:space="preserve">Keep the GTT and TTM kernel line as written for 192 GB, or change it before Day 1?</t>
  </si>
  <si>
    <t xml:space="preserve">(a) keep amdgpu.gttsize=196608 ttm.pages_limit=50331648 and let V3 and V3b validate it; (b) adopt the one published 192 GB profile, ttm.pages_limit=46137344 (176 GiB); (c) keep (a) and raise the V3b floor from 160000 MiB to the largest approved engine plus its KV.</t>
  </si>
  <si>
    <t xml:space="preserve">No community source has qualified a 192 GB GTT profile, and AMD's footnote caps graphics memory at 160 GB (149.01 GiB). The Lucebox report, which governs hardware, finds the node's line already covers its 192 GB profile (amdgpu.gttsize=180224, about 146.5 GiB of experts in GTT). The largest candidates are 146-158 GiB files, so a Vulkan heap below about 165 GiB would shut them out.</t>
  </si>
  <si>
    <t xml:space="preserve">T-01</t>
  </si>
  <si>
    <t xml:space="preserve">Roster report L114, Addendum L138; Roster gap_closure L359, L467; FRAMEWORK_REVIEW 3.3 L123-L135. Lucebox report tier table L186, L331.</t>
  </si>
  <si>
    <t xml:space="preserve">D-37</t>
  </si>
  <si>
    <t xml:space="preserve">Specialist seats: how they are reached</t>
  </si>
  <si>
    <t xml:space="preserve">Are the new specialist engines (science, finance, coder, medical cross-check) bound to directors and task forces, or to domains, and do they get Principal prefixes?</t>
  </si>
  <si>
    <t xml:space="preserve">(a) director override lists plus task-force presets (an engine field in task-forces.json), keeping 8.4's rule that a domain never spawns a model; (b) a domain card carries an engine and loading the card switches the engine; (c) (a) plus explicit prefixes such as [SCIENCE], [CODER] and [FIN].</t>
  </si>
  <si>
    <t xml:space="preserve">(a), adding a prefix only for a seat the Principal wants to call directly.</t>
  </si>
  <si>
    <t xml:space="preserve">Domains are knowledge injected into the director's prompt (8.4), and every extra engine is now a 50-85 s swap plus re-prefill, so binding engines to cards could turn one three-card dispatch into three swaps. Persona files already carry default_engine and override_engines, and task-forces.json already carries an engine field for TF_OMEGA.</t>
  </si>
  <si>
    <t xml:space="preserve">D-17; D-18; D-19; D-15</t>
  </si>
  <si>
    <t xml:space="preserve">FRAMEWORK_REVIEW 8.4 L527-L535, 8.5 L539-L553; config/personas/*.md L7-L11; config/task-forces.json L358.</t>
  </si>
  <si>
    <t xml:space="preserve">D-38</t>
  </si>
  <si>
    <t xml:space="preserve">Long-document route</t>
  </si>
  <si>
    <t xml:space="preserve">Where does [ARTHUR:LONG] route once Qwen3.5-122B-A10B leaves, and what token count triggers it?</t>
  </si>
  <si>
    <t xml:space="preserve">(a) GLM-5.3-Flash (AA-LCR 80.0, MRCR 128K 62.9), with the trigger raised from 24,000 tokens to suit its context; (b) Nemotron 3 Super Q8_0 (1M context, small cache, AA 12.8); (c) keep Qwen3.5-122B-A10B Q8_0 (130 GB) for this route alone.</t>
  </si>
  <si>
    <t xml:space="preserve">(a), approved before Day 1; the long_document_tokens trigger is set in S-30 once the per-engine slot profile (D-48) is measured.</t>
  </si>
  <si>
    <t xml:space="preserve">GLM is the long-context leader and the default resident engine for most seats, so the override would usually cost no swap; router-rules.json sends arthur-qwen to qwen3.5-122b, and its 24,000-token trigger was set for a 32K slot.</t>
  </si>
  <si>
    <t xml:space="preserve">config/router-rules.json L18, L32, L37; router.py L127; Arsenal report long-document row L30.</t>
  </si>
  <si>
    <t xml:space="preserve">D-39</t>
  </si>
  <si>
    <t xml:space="preserve">Strong cross-check under sequential operation</t>
  </si>
  <si>
    <t xml:space="preserve">Which engines may serve a strong cross-check now that every engine runs alone, and how is its swap cost contained?</t>
  </si>
  <si>
    <t xml:space="preserve">(a) every engine that is not uncensored may cross-check, the Apex included, and strong checks are batched by engine; (b) keep the Apex exclusion and cross-check Arthur's V4-Flash drafts on Qwen3.8-Flash-Next as a third family; (c) the cheap check (same engine, critic prompt) by default and a strong swap only for items the Principal marks important.</t>
  </si>
  <si>
    <t xml:space="preserve">approval.py never uses deepseek-v4-flash for a cross-check because it was exclusive, but under the new map it is Arthur's default and the only other family beside GLM. The sensitive tier applies the strong version automatically (9.2), and each strong check is now a 50-85 s swap plus re-prefill unless batched.</t>
  </si>
  <si>
    <t xml:space="preserve">D-10; D-23</t>
  </si>
  <si>
    <t xml:space="preserve">approval.py L343-L412; FRAMEWORK_REVIEW 9.2 L579-L581.</t>
  </si>
  <si>
    <t xml:space="preserve">D-40</t>
  </si>
  <si>
    <t xml:space="preserve">Fallback engine map</t>
  </si>
  <si>
    <t xml:space="preserve">If a seat's engine fails or defers in Phase 3, which engine carries that seat?</t>
  </si>
  <si>
    <t xml:space="preserve">(a) the arsenal's runner-up per seat (Ren and Victor to Qwen3.8-Flash-Next, Gideon and Helena to DeepSeek-V4-Flash, Silas to Ling-3.0-flash-Fin, Valerie to gpt-oss Derestricted, Alaric to GLM), with gpt-oss-120b as the floor every seat can use; (b) gpt-oss-120b for every failed seat; (c) no fallback, the seat waits for a fix.</t>
  </si>
  <si>
    <t xml:space="preserve">(a), written as a fallback_engine field in each persona file.</t>
  </si>
  <si>
    <t xml:space="preserve">GLM-5.3-Flash carries most seats, needs a re-pin, may fall back to the CPU for its hyper-connection operator on Vulkan and needs --kv-unified, so a GLM failure would leave about seven seats without an engine; gpt-oss-120b loads at the current pin and decodes 57-60 tok/s.</t>
  </si>
  <si>
    <t xml:space="preserve">D-10; D-33</t>
  </si>
  <si>
    <t xml:space="preserve">Arsenal report allocation table (runner-up column); Roster report (PR #26185, PR #27773).</t>
  </si>
  <si>
    <t xml:space="preserve">D-41</t>
  </si>
  <si>
    <t xml:space="preserve">Disk budget</t>
  </si>
  <si>
    <t xml:space="preserve">Approve an arsenal of roughly 1.9 TB on the 8 TB /srv/atlas volume?</t>
  </si>
  <si>
    <t xml:space="preserve">(a) approve the representative ten-engine set plus companions; (b) fewer files: share GLM-5.3-Flash across the professional seats and keep only the specialist additions (Baichuan-M3, Intern-S1, MiMo, Coder-Next, vision).</t>
  </si>
  <si>
    <t xml:space="preserve">(a) approve; it leaves ample room.</t>
  </si>
  <si>
    <t xml:space="preserve">GLM 156.8 GB, Flash-Next 169.2 GB (+MTP 2.8, +mmproj 0.6), V4-Flash 161.9 GB (+DSpark 10.9), MiMo 168.4 GB, gpt-oss F16-trunk 65.4 GB, Nemotron 128.5 GB, Baichuan-M3 161.9 GB, Intern-S1 162.0 GB, Coder-Next BF16 159.5 GB, Qwen3-VL-235B 161.9 GB and about 22 GB of companions. At 100 Mbps the Phase 3 download grows from about 15 h (690 GB) to about 42 h (computed, not in the report).</t>
  </si>
  <si>
    <t xml:space="preserve">Arsenal report Inputs L101, sequential L78.</t>
  </si>
  <si>
    <t xml:space="preserve">D-42</t>
  </si>
  <si>
    <t xml:space="preserve">Phase 3 download staging</t>
  </si>
  <si>
    <t xml:space="preserve">Is the whole approved arsenal pulled in Phase 3, or only the seats Day 1 needs?</t>
  </si>
  <si>
    <t xml:space="preserve">(a) pull everything in Phase 3 (about 1.9 TB, about 42 h at 100 Mbps); (b) pull the core seats in Phase 3 (GLM 156.82 GB, V4-Flash 161.87 GB, gpt-oss-120b 65.4 GB and the companions, about 0.4 TB, roughly 9 h) and the specialist seats in a post-Day-1 pull with the same checksum and load tests; (c) connect the wired 10GbE link for the pull only.</t>
  </si>
  <si>
    <t xml:space="preserve">Section 15.4 plans about 15 h for 690 GB over Wi-Fi; 1.9 TB is nearly three times that, the specialist seats are not needed for the Phase 3 gate or the Day 1 close-out, and Phase 3 is already resumable at file level.</t>
  </si>
  <si>
    <t xml:space="preserve">D-41; D-26</t>
  </si>
  <si>
    <t xml:space="preserve">FRAMEWORK_REVIEW 15.4 L840, 17 durations L965, R20 L1040; Arsenal report sequential section.</t>
  </si>
  <si>
    <t xml:space="preserve">D-43</t>
  </si>
  <si>
    <t xml:space="preserve">Deep Think deep-tier latency</t>
  </si>
  <si>
    <t xml:space="preserve">Run the swap-heavy deep tier only when the Principal accepts the latency?</t>
  </si>
  <si>
    <t xml:space="preserve">(a) reserve deep runs (3-4 swaps, 2.5-5.5 min of swap overhead) for explicit acceptance; (b) keep the router's automatic depth choice.</t>
  </si>
  <si>
    <t xml:space="preserve">Every swap between large engines is a full cold read, and re-prefill on stock Vulkan adds minutes per swap for V4-Flash (about 4.4 min at 32K).</t>
  </si>
  <si>
    <t xml:space="preserve">T-14</t>
  </si>
  <si>
    <t xml:space="preserve">Arsenal report sequential L78.</t>
  </si>
  <si>
    <t xml:space="preserve">D-44</t>
  </si>
  <si>
    <t xml:space="preserve">Slot save/restore</t>
  </si>
  <si>
    <t xml:space="preserve">Save each task's KV slot before its engine leaves and restore it when the engine returns?</t>
  </si>
  <si>
    <t xml:space="preserve">(a) adopt for every task that will resume; (b) do not adopt and re-prefill each time.</t>
  </si>
  <si>
    <t xml:space="preserve">(a), pending a node test that restore works for every architecture at the pin (T-13); D-26 (c) would phase the code after Day 1.</t>
  </si>
  <si>
    <t xml:space="preserve">Re-prefill dominates swap cost: V4-Flash takes about 4.4 min for a fresh 32K prompt and up to 13 min at 64K on stock Vulkan, while a 32K V4 slot is about 0.2 GiB at f16 and reads back in seconds. --slot-save-path is already passed to every chat engine, but no orchestrator code calls save or restore.</t>
  </si>
  <si>
    <t xml:space="preserve">T-13</t>
  </si>
  <si>
    <t xml:space="preserve">Arsenal report sequential L76; engine-env.py L211-212.</t>
  </si>
  <si>
    <t xml:space="preserve">D-45</t>
  </si>
  <si>
    <t xml:space="preserve">Retrieval re-index</t>
  </si>
  <si>
    <t xml:space="preserve">Change the primary embedder before Day 1, so ChromaDB is first indexed with the new model, or later with a full re-embed?</t>
  </si>
  <si>
    <t xml:space="preserve">(a) before Day 1: Phase 2 step 4 pulls the new embedder while the corpus is still empty; (b) after Day 1: re-embed every collection (corporate, estate, scars, documents_corporate, documents_estate, sentinel) and rebuild LightRAG's vectors.</t>
  </si>
  <si>
    <t xml:space="preserve">Vectors from bge-m3 and Qwen3-Embedding are not interchangeable even at the same 1024-dim schema; truncation keeps the schema, not the vectors. Chroma 1.5.9 never compacts (R27), so a later re-embed needs fresh collections. Not stated in the reports; it follows from changing the embedder.</t>
  </si>
  <si>
    <t xml:space="preserve">C-02; D-14</t>
  </si>
  <si>
    <t xml:space="preserve">Arsenal report companions L84; FRAMEWORK_REVIEW 10.1. Roster report L75, L100.</t>
  </si>
  <si>
    <t xml:space="preserve">D-46</t>
  </si>
  <si>
    <t xml:space="preserve">Apex trial: DeepSeek V4.1 Flash</t>
  </si>
  <si>
    <t xml:space="preserve">What role should DeepSeek V4.1 Flash (552B) have on the node?</t>
  </si>
  <si>
    <t xml:space="preserve">(a) leave it out; (b) evaluation-only trial outside the routed roster; (c) replace V4-Flash-0731 as the Apex engine.</t>
  </si>
  <si>
    <t xml:space="preserve">(b): keep 0731 as Apex (D-11) and promote V4.1 only if it beats 0731 on 30-50 private Deep Think and TF_OMEGA-style tasks scored blind by the Principal or a director (T-30). The Principal supplies approval and the task set.</t>
  </si>
  <si>
    <t xml:space="preserve">At full precision V4.1 leads 0731 on AA 39.46 to 34.33, mostly in agentic terminal work, but every V4.1 file that fits ~164 GiB is 2-3 bits (antirez Q2: KL 0.260, top-1 78.3%; Lucebox ROCMFP2S: KL 0.266, 77.7%), while 0731 UD-Q8_K_XL is bit-exact. The Lucebox report governs V4.1: mainline llama.cpp cannot run it (PR #28696 open) and its Q2_K needs 186.17 GiB resident, superseding the roster's Q2_K figure (a 264.52 GB / 246.35 GiB file; its body said 'even the lowest rung is 80 GiB over the budget'); 186.17 GiB is resident weights, excluding the 188.83 GiB of Engram tables read from disk.</t>
  </si>
  <si>
    <t xml:space="preserve">T-06 (the Apex rung follows the 0731 KV measurement)</t>
  </si>
  <si>
    <t xml:space="preserve">Lucebox report Inputs row 1 (L392), quantisation L333-L349. Roster report L9, Addendum L128; Roster gap_closure L383, L465.</t>
  </si>
  <si>
    <t xml:space="preserve">D-47</t>
  </si>
  <si>
    <t xml:space="preserve">Deep tier speed floor and sampling</t>
  </si>
  <si>
    <t xml:space="preserve">What minimum decode speed is acceptable for the deep tier, and which sampling settings should the V4.1 trial measure?</t>
  </si>
  <si>
    <t xml:space="preserve">(a) accept whatever V4.1 delivers; (b) set a minimum decode rate before the trial. Sampling: greedy only, or greedy and the node's temperature 1.0.</t>
  </si>
  <si>
    <t xml:space="preserve">(b): set a floor before the trial so its result is decisive (for example, whether 14 tok/s is usable for the longest tasks), and measure both sampling settings. The same floor sets the per-seat floors of D-33.</t>
  </si>
  <si>
    <t xml:space="preserve">The node samples DeepSeek at temperature 1.0, which changes draft acceptance and speed, and Lucebox's figures are greedy-only. V4.1 runs at about 14-16 tok/s on this APU; the arsenal projects 0731 at about 7 (UD-Q8_K_XL) and 11 (UD-Q4_K_XL) tok/s on mainline Vulkan; the directive puts quality first.</t>
  </si>
  <si>
    <t xml:space="preserve">Lucebox report Inputs row 8 (L399), Risks L374, path 0 L355; engines.json L170.</t>
  </si>
  <si>
    <t xml:space="preserve">D-48</t>
  </si>
  <si>
    <t xml:space="preserve">Slot and context profile per engine</t>
  </si>
  <si>
    <t xml:space="preserve">How do engines that now run alone lay out slots and context, in particular GLM-5.3-Flash, which needs --kv-unified for more than one sequence?</t>
  </si>
  <si>
    <t xml:space="preserve">(a) keep 8 x 32K slots without --kv-unified everywhere (not supported for GLM, #27773); (b) per-engine profile from the measured KV, with GLM on --kv-unified, 8 slots sharing one pool and the S52 window guard rewritten for a pooled window; (c) as (b) but GLM on --parallel 1 with one large context (for example 131072) and slot save/restore for other conversations; (d) --kv-unified everywhere.</t>
  </si>
  <si>
    <t xml:space="preserve">(b) if the parity test shows coherent output under --kv-unified, otherwise (c); set each engine after the Phase 3 kv-estimates measurement.</t>
  </si>
  <si>
    <t xml:space="preserve">Each slot is a hard 32K request limit, so long native windows go unused. GLM carries about seven seats, so a single slot would re-prefill each persona's stable prefix at every switch; its cache is small (19,712 B/token f16, about 0.6 GiB per 32K), so pooling is cheap. GLM slowed to about 6 tok/s by 128K context in review.</t>
  </si>
  <si>
    <t xml:space="preserve">Phase 3 (node test)</t>
  </si>
  <si>
    <t xml:space="preserve">D-01; D-02; T-02; T-04; T-05</t>
  </si>
  <si>
    <t xml:space="preserve">Roster report L56, L88; FRAMEWORK_REVIEW 4.3 L275, L277; engines.py L30-L57. Arsenal report allocation table.</t>
  </si>
  <si>
    <t xml:space="preserve">D-49</t>
  </si>
  <si>
    <t xml:space="preserve">Test sets for seats with no benchmark</t>
  </si>
  <si>
    <t xml:space="preserve">Will the Principal supply test sets for Australian law, HR, aviation, logistics, AEC, SCADA, game design, growth marketing, customer success and physical security / OSINT?</t>
  </si>
  <si>
    <t xml:space="preserve">(a) supply them; (b) accept the general leader (GLM) on those seats unproven.</t>
  </si>
  <si>
    <t xml:space="preserve">No board, no Australian-law evaluation and no specialist above the floor exist for Victor, Alaric and those domains, and LMArena has no category for them; their quality can only be settled on the Principal's own work (T-27).</t>
  </si>
  <si>
    <t xml:space="preserve">After Day 1</t>
  </si>
  <si>
    <t xml:space="preserve">Arsenal report allocation points L34, gaps L90; Arsenal CR G10 (L206-218). Arsenal CR section 1 (L13) for customer success and growth marketing.</t>
  </si>
  <si>
    <t xml:space="preserve">D-50</t>
  </si>
  <si>
    <t xml:space="preserve">Phase 4 engines beside a 150 GiB seat</t>
  </si>
  <si>
    <t xml:space="preserve">How do image, video and other Phase 4 engines run when the resident LLM seat leaves no room beside it?</t>
  </si>
  <si>
    <t xml:space="preserve">(a) a Phase 4 load evicts the resident seat, which reloads afterwards, with Phase 4 work batched through the Celery gpu queue; (b) run the default seat at a smaller rung to keep 20-40 GB free; (c) Phase 4 work only in scheduled idle windows.</t>
  </si>
  <si>
    <t xml:space="preserve">FLUX.1-dev needs 12-24 GB and Wan2.2 20-40 GB, while GLM-5.3-Flash leaves about 18 GiB of the budget for its own cache; (b) contradicts the less-quantisation rule, and each eviction costs a 50-85 s reload plus re-prefill unless the slot was saved.</t>
  </si>
  <si>
    <t xml:space="preserve">D-32; D-44</t>
  </si>
  <si>
    <t xml:space="preserve">FRAMEWORK_REVIEW 15.2 L796-L797, 4.2 rule 2 L251; arbiter.py L45-L58.</t>
  </si>
  <si>
    <t xml:space="preserve">D-51</t>
  </si>
  <si>
    <t xml:space="preserve">V4.1 trial engine and file</t>
  </si>
  <si>
    <t xml:space="preserve">Which engine and file should the V4.1 trial use?</t>
  </si>
  <si>
    <t xml:space="preserve">(a) DwarfStar with antirez Q2 (365.71 GB file, 151.76 GiB resident), the only path measured on this APU, 14-16.5 tok/s; (b) the Lucebox engine with Geometric ds41-lucebox-final (366.13 GB, 152.15 GiB resident), best internal bench 164 of 177 but never run on one device; (c) wait for llama.cpp PR #28696.</t>
  </si>
  <si>
    <t xml:space="preserve">(a) first, then (b) only if (a) shows promise; do not wait for (c), which has no AMD kernels and a cap near 16K context. The Principal accepts about 14-16 tok/s on a 2-bit file.</t>
  </si>
  <si>
    <t xml:space="preserve">Framework measured DwarfStar with antirez Q2 on a 192 GB PRO 495 at 14.0/13.8/13.8 tok/s and 16.3-16.5 with DSpark (prefill 350/337/300 at 0/32K/64K); both Lucebox V4.1 profiles assume an R9700 (projected 12-16 tok/s alone). Lucebox's ROCMFP2S file (167.58 GiB resident) and llama.cpp's Q2_K (186.17 GiB) and Q3_K_M (244.62 GiB) do not fit.</t>
  </si>
  <si>
    <t xml:space="preserve">D-46; D-52; D-47</t>
  </si>
  <si>
    <t xml:space="preserve">Lucebox report Inputs row 2 (L393), L329, paths A-D L356-L359.</t>
  </si>
  <si>
    <t xml:space="preserve">D-52</t>
  </si>
  <si>
    <t xml:space="preserve">GPU compute stack for an LLM engine</t>
  </si>
  <si>
    <t xml:space="preserve">May an LLM engine run on ROCm on the node?</t>
  </si>
  <si>
    <t xml:space="preserve">(a) no, Vulkan only; (b) yes, inside a container following the Phase 4 pattern; (c) ROCm installed on the host.</t>
  </si>
  <si>
    <t xml:space="preserve">(b), extending the Phase 4 container rule to one LLM engine: inbox amdgpu driver only, no DKMS, locked memory for that container alone, pinned image digest and source commit.</t>
  </si>
  <si>
    <t xml:space="preserve">Every route to V4.1 leaves the node's Vulkan llama.cpp: the Lucebox engine builds only for CUDA or HIP, and DwarfStar's measured run used kyuz0's ROCm 10.0 container for gfx1151. Section 3.4 already keeps ROCm off the host, and AMD does not recommend amdgpu-dkms on gfx1151 APUs after page-fault reports (ROCm #6186).</t>
  </si>
  <si>
    <t xml:space="preserve">D-46; T-29</t>
  </si>
  <si>
    <t xml:space="preserve">Lucebox report Inputs row 3 (L394), L329-L331, L374; FRAMEWORK_REVIEW 3.4.</t>
  </si>
  <si>
    <t xml:space="preserve">D-53</t>
  </si>
  <si>
    <t xml:space="preserve">Outbound allowlist for the trial</t>
  </si>
  <si>
    <t xml:space="preserve">Which build-time sources may be admitted for the trial engines, and for how long?</t>
  </si>
  <si>
    <t xml:space="preserve">(a) none; (b) GitHub (antirez/ds4, Luce-Org/lucebox), Docker Hub (kyuz0 images) and AMD's ROCm repository, during builds only.</t>
  </si>
  <si>
    <t xml:space="preserve">(b), build-time only and logged, with run time offline; Hugging Face pulls are already allowed. Lucebox's appliance updater, cloud fallback, crash reporting, Tailscale and Connect are never installed.</t>
  </si>
  <si>
    <t xml:space="preserve">Section 12.5 names only package mirrors during builds and Hugging Face during model pulls, and 16.3 item 8 forbids installing software from outside the allowlist without the Principal. allowlist.txt already admits github.com, registry-1.docker.io and stable.repo.amd.com, so the approval is mainly for the new sources.</t>
  </si>
  <si>
    <t xml:space="preserve">D-51; D-52</t>
  </si>
  <si>
    <t xml:space="preserve">Lucebox report Inputs row 4 (L395), Risks L372; allowlist.txt L51-L84.</t>
  </si>
  <si>
    <t xml:space="preserve">D-54</t>
  </si>
  <si>
    <t xml:space="preserve">Model drive for the trial files</t>
  </si>
  <si>
    <t xml:space="preserve">May the 8 TB model drive hold the V4.1 trial files?</t>
  </si>
  <si>
    <t xml:space="preserve">(a) one file of about 366 GB at a time; (b) both the antirez and Geometric files, about 732 GB.</t>
  </si>
  <si>
    <t xml:space="preserve">(a), one file at a time.</t>
  </si>
  <si>
    <t xml:space="preserve">The Lucebox report measures room against the baseline's under-900 GB; with the arsenal's about 1.9 TB (D-41) plus one 366 GB trial file the drive holds about 2.3 TB of 8 TB (computed here). Streaming experts only reads the drive, and SMART's written-data counter counts host writes only, so wear is not a concern.</t>
  </si>
  <si>
    <t xml:space="preserve">D-51; D-41</t>
  </si>
  <si>
    <t xml:space="preserve">Lucebox report Inputs row 5 (L396), Risks L374; FRAMEWORK_REVIEW 15.4.</t>
  </si>
  <si>
    <t xml:space="preserve">D-55</t>
  </si>
  <si>
    <t xml:space="preserve">Governance: zero-cloud</t>
  </si>
  <si>
    <t xml:space="preserve">Which Lucebox software, if any, may ever run on the node?</t>
  </si>
  <si>
    <t xml:space="preserve">(a) none; (b) the Apache 2.0 engine (luce_server) only, built from a pinned commit inside the trial container, with pflash_upstream_base unset and the cluster socket unused; (c) the appliance stack (updater, Manage, Connect, Tailscale, crash Report).</t>
  </si>
  <si>
    <t xml:space="preserve">(b) only if the trial reaches its second stage (D-51 (b)); never (c).</t>
  </si>
  <si>
    <t xml:space="preserve">A search of the engine source at commit 6f2b179 found no telemetry, licence check or vendor endpoint; its only outbound code is the multi-box cluster socket and an upstream proxy that runs only when pflash_upstream_base is set. The appliance has a daily update check, an undefined cloud fallback, a crash-log Report button, Tailscale and Connect, all of which break Section 1's zero-cloud rule.</t>
  </si>
  <si>
    <t xml:space="preserve">Lucebox report L368-L370; Lucebox CR section 4 G1 (L127).</t>
  </si>
  <si>
    <t xml:space="preserve">D-56</t>
  </si>
  <si>
    <t xml:space="preserve">Governance: result fidelity</t>
  </si>
  <si>
    <t xml:space="preserve">Which speed-for-fidelity switches may an engine on the node use?</t>
  </si>
  <si>
    <t xml:space="preserve">(a) lossless only: default expert count, speculative decoding with exact verification, prefix caching; (b) also approximate switches after a scored comparison on the trial set (per-box router bias, decoder SWA bounded replay, sparse prefill); (c) any vendor speed setting, including top-4 experts and PFlash.</t>
  </si>
  <si>
    <t xml:space="preserve">(a) as the standing rule for routed engines, (b) only inside the V4.1 trial with each switch scored against the same file without it, never (c). Derived from the report's precision-first reading, not a numbered input.</t>
  </si>
  <si>
    <t xml:space="preserve">Lucebox's 54 tok/s V4 Flash headline used four of six experts, which on the adaptive 0731 file cut exact-copy fidelity from 95.0% to 60.0% with degenerate output, and PFlash is labelled lossy. Every V4.1 run uses a router bias fitted to the box, so 'bit-identical' compares speculative and plain decode under the same biased routing, not DeepSeek's reference.</t>
  </si>
  <si>
    <t xml:space="preserve">Lucebox report L128, L209, L217, L313; Lucebox CR section 4 G2 (L135-139), section 7 item 2 (L240).</t>
  </si>
  <si>
    <t xml:space="preserve">D-57</t>
  </si>
  <si>
    <t xml:space="preserve">Governance: container privilege</t>
  </si>
  <si>
    <t xml:space="preserve">May the trial LLM container hold unlimited locked memory, and run as root if the engine requires it?</t>
  </si>
  <si>
    <t xml:space="preserve">(a) no; (b) yes, for that one container only, through its own memlock limit and non-root where the engine allows; (c) host-wide.</t>
  </si>
  <si>
    <t xml:space="preserve">(b), as part of D-52, with compute-wave save/restore left on.</t>
  </si>
  <si>
    <t xml:space="preserve">Lucebox's profiles need locked memory (root or ulimit -l unlimited) and break if compute-wave save/restore is off; with the default 8 MiB lock limit the iGPU host tier stays empty and experts stream from the SSD. The node's llama-server units already run with LimitMEMLOCK=infinity.</t>
  </si>
  <si>
    <t xml:space="preserve">D-52; D-51</t>
  </si>
  <si>
    <t xml:space="preserve">Lucebox report L207, Risks L374; systemd/llama-server@.service L57.</t>
  </si>
  <si>
    <t xml:space="preserve">D-58</t>
  </si>
  <si>
    <t xml:space="preserve">Uncensored: large 2026 abliterations</t>
  </si>
  <si>
    <t xml:space="preserve">Admit the huihui abliterations of GLM-5.3-Flash, Qwen3.8-Flash-Next and DeepSeek-V4-Flash, or a Nemotron 3 Super Heretic, into the arsenal?</t>
  </si>
  <si>
    <t xml:space="preserve">(a) not now; (b) admit after a node refusal and capability test (T-10); (c) as (b) for Nemotron 3 Super Heretic Q8_0 only (uploader-reported KL 0.1081 / 28 refusals v1, 0.2127 / 11 v2; March GGUFs may lack the MTP tensors).</t>
  </si>
  <si>
    <t xml:space="preserve">(a) not now: none is evidence-backed.</t>
  </si>
  <si>
    <t xml:space="preserve">None publishes refusal or quality figures, and the huihui builds ablate only non-expert layers (GLM layers 15-35; the DeepSeek build is a 4-bit proof of concept; the Flash-Next files are unsloth's base rungs); none has a UGI row. Abliterating a fully uncensored large MoE costs about 8 NatInt points, and every abliterated output still passes the same approval gate.</t>
  </si>
  <si>
    <t xml:space="preserve">Optional</t>
  </si>
  <si>
    <t xml:space="preserve">D-04 (for a Nemotron build)</t>
  </si>
  <si>
    <t xml:space="preserve">Arsenal report uncensored L82; Arsenal CR G4 (L129-132), open gap 3. Roster report L110; Roster gap_closure L361, L391, L399, L400.</t>
  </si>
  <si>
    <t xml:space="preserve">D-59</t>
  </si>
  <si>
    <t xml:space="preserve">gpt-oss-120b file</t>
  </si>
  <si>
    <t xml:space="preserve">Keep the ggml-org MXFP4 file (Q8_0 trunk) or move to the F16-trunk GGUF?</t>
  </si>
  <si>
    <t xml:space="preserve">(a) MXFP4 / Q8_0-trunk 63.39 GB / 59.03 GiB (current); (b) F16-trunk 65.37 GB / 60.88 GiB, the highest-precision GGUF.</t>
  </si>
  <si>
    <t xml:space="preserve">(b), as the arsenal's disk set lists it; the experts stay native MXFP4 either way.</t>
  </si>
  <si>
    <t xml:space="preserve">Only about 2% of parameters change precision and no independent measurement compares the two files; the rule for native-MXFP4 models is to keep native tensors unchanged and the rest at high precision.</t>
  </si>
  <si>
    <t xml:space="preserve">Arsenal report quantisation L59, L66, sequential L78; verification_named_120b_class_and_uncensored L91.</t>
  </si>
  <si>
    <t xml:space="preserve">D-60</t>
  </si>
  <si>
    <t xml:space="preserve">EmbeddingGemma 2</t>
  </si>
  <si>
    <t xml:space="preserve">Keep EmbeddingGemma 2 at all?</t>
  </si>
  <si>
    <t xml:space="preserve">(a) adopt as an optional code and multimodal side index after a re-pin to b11452 or later (b11474 covers it; v0.6.0 does not); (b) drop it.</t>
  </si>
  <si>
    <t xml:space="preserve">(a) or (b) at the Principal's preference; the primary retrieval pair is the Qwen3 embedder and reranker either way.</t>
  </si>
  <si>
    <t xml:space="preserve">MTEB multilingual 61.36 (+0.21 over EG1), English -1.21, 9-13 points below the 8B-27B leaders; its value is one shared space for text, image, video and audio plus code retrieval (+9.92).</t>
  </si>
  <si>
    <t xml:space="preserve">Arsenal report Inputs L103, verdict row 11 (L52).</t>
  </si>
  <si>
    <t xml:space="preserve">D-61</t>
  </si>
  <si>
    <t xml:space="preserve">Speculative-decoding drafters</t>
  </si>
  <si>
    <t xml:space="preserve">Use MTP or DSpark drafters with the large engines?</t>
  </si>
  <si>
    <t xml:space="preserve">(a) native MTP for Flash-Next (+2.8 GB), GLM (b11474) and Nemotron (v0.5.0 and later) after the re-pin; (b) DSpark for V4-Flash (+10.9 GB), which beside UD-Q8_K_XL totals 160.90 GiB and leaves 3.1 GiB; (c) separate draft models such as EAGLE3; (d) none.</t>
  </si>
  <si>
    <t xml:space="preserve">Keep the drafter files in the disk set; use only native MTP heads or DSpark, never separate draft models; decide per engine after the re-pin and node speed tests, measuring draft acceptance at temperature 1.0; DSpark with V4-Flash only at a lower rung. Record single-stream speculative decoding on the watch-list.</t>
  </si>
  <si>
    <t xml:space="preserve">Drafters trade memory for speed, and speed is secondary. Measured effects differ by engine: native MTP gave 1.4-1.6x on MoE engines; EAGLE3 cut gpt-oss-120b from 51.7 to 27.7 tok/s; DSpark slowed 0731 on stock Vulkan (mainline b10488 11.94 to 7.7 tok/s at UD-IQ3_XXS; 12.3 to 11.7 at UD-IQ2_XXS) but lifted a tuned fork from 18.9 to 28.9 at UD-IQ2_XXS and stock ROCm 10.0 llama.cpp from 13.3 to 20.9, while Framework measured V4.1 under DwarfStar at 14 -&gt; 16.3-16.5 tok/s with it (Lucebox). 0731 ships no MTP head; concurrent serving rejects the drafter, so sequential use suits it.</t>
  </si>
  <si>
    <t xml:space="preserve">D-01; D-11; T-05; T-31</t>
  </si>
  <si>
    <t xml:space="preserve">Arsenal report L78, L97; Arsenal CR G1. Roster report L52, L56, Addendum L126; Roster gap_closure L435. Lucebox report L223, L374, L378.</t>
  </si>
  <si>
    <t xml:space="preserve">D-62</t>
  </si>
  <si>
    <t xml:space="preserve">Hardware: discrete GPU</t>
  </si>
  <si>
    <t xml:space="preserve">Should the node gain a discrete GPU (Radeon AI PRO R9700, 32 GB)?</t>
  </si>
  <si>
    <t xml:space="preserve">(a) none now; (b) USB4 v2 dock with the card and a supply of 750 W or more; (c) M.2 riser, moving a four-lane drive to the x1 slot.</t>
  </si>
  <si>
    <t xml:space="preserve">(a) for now; revisit (b) only if the trial shows V4.1 or Flash-Next worth accelerating, preferably after someone publishes a 32 GB card in a USB4 dock; avoid (c). The Principal supplies a budget ceiling, tolerance for a 300 W blower near 3,000 RPM and a second power brick, and whether external hardware is acceptable.</t>
  </si>
  <si>
    <t xml:space="preserve">Lucebox measured V4.1 with the card at 48.7 tok/s on code and 31-33 at 2K-31K (Gen3 x4, greedy) against 14-16.5 without, and Flash-Next from 40 to 75 tok/s, while the card barely helps V4 Flash 0731 (36-42 with, 39-42 without). Those are Lucebox-engine figures, not the node's mainline Vulkan (0731 about 7-11 tok/s projected, D-11). The card alone is about $1,800 (Lucebox comparator), plus an unpriced USB4 v2 dock and a supply of 750 W or more; with amdgpu.runpm=0 the card never idles down.</t>
  </si>
  <si>
    <t xml:space="preserve">D-46; T-30</t>
  </si>
  <si>
    <t xml:space="preserve">Lucebox report Inputs row 6 (L397), L317-L325; Lucebox CR section 7 items 1, 4 (L237-L242).</t>
  </si>
  <si>
    <t xml:space="preserve">D-63</t>
  </si>
  <si>
    <t xml:space="preserve">Hardware: second machine</t>
  </si>
  <si>
    <t xml:space="preserve">Should the Principal buy a Lucebox Zero 495 appliance as a second machine?</t>
  </si>
  <si>
    <t xml:space="preserve">(a) no; (b) yes, run air-gapped with the appliance software removed.</t>
  </si>
  <si>
    <t xml:space="preserve">(a); consider (b) only if the Principal wants a second box regardless.</t>
  </si>
  <si>
    <t xml:space="preserve">It duplicates the node's Ryzen AI MAX+ PRO 495 and adds an R9700 on a PCIe 4.0 x4 riser; its software has a daily update check and an undefined cloud fallback, and no third party has reproduced its figures. 192 GB units ship in February 2027 at $8,499 before Engine Pro ($199 per month per machine).</t>
  </si>
  <si>
    <t xml:space="preserve">Lucebox report Inputs row 7 (L398), L75-L106.</t>
  </si>
  <si>
    <t xml:space="preserve">D-64</t>
  </si>
  <si>
    <t xml:space="preserve">Watch-list: Lucebox ideas</t>
  </si>
  <si>
    <t xml:space="preserve">Record Lucebox's no-hardware ideas on the baseline watch-list?</t>
  </si>
  <si>
    <t xml:space="preserve">(a) record them at the next baseline revision (memory guard; expiring signed manifests; retrieval from local agent session logs; usage-ranked expert placement for any future card; single-stream speculative decoding); (b) do not record.</t>
  </si>
  <si>
    <t xml:space="preserve">(a), with no repository change beyond the watch-list rows; each idea is a baseline row (B-63, B-64, B-65, B-62, B-34).</t>
  </si>
  <si>
    <t xml:space="preserve">None needs Lucebox software or new hardware: the memory guard mirrors the Arbiter's 16 GiB host reserve, 120-day manifest expiry is a cheap discipline for pinned images, session-log retrieval fits the existing retrieval stack, usage-ranked placement is the design for any future card, and speculative decoding suits Ren and Arthur running one after the other.</t>
  </si>
  <si>
    <t xml:space="preserve">Lucebox report Inputs row 9 (L400), L378.</t>
  </si>
  <si>
    <t xml:space="preserve">Named models</t>
  </si>
  <si>
    <t xml:space="preserve">The twelve models and engines the Principal named, with the recommended verdict. Accept the verdict or state a change.</t>
  </si>
  <si>
    <t xml:space="preserve">Named model</t>
  </si>
  <si>
    <t xml:space="preserve">Recommended verdict</t>
  </si>
  <si>
    <t xml:space="preserve">Rung that fits alone</t>
  </si>
  <si>
    <t xml:space="preserve">Size (GB / GiB)</t>
  </si>
  <si>
    <t xml:space="preserve">Role in the arsenal</t>
  </si>
  <si>
    <t xml:space="preserve">Reason and evidence</t>
  </si>
  <si>
    <t xml:space="preserve">N-01</t>
  </si>
  <si>
    <t xml:space="preserve">DeepSeek-V4-Flash</t>
  </si>
  <si>
    <t xml:space="preserve">Include</t>
  </si>
  <si>
    <t xml:space="preserve">UD-Q8_K_XL (bit-exact), unsloth/DeepSeek-V4-Flash-0731-GGUF</t>
  </si>
  <si>
    <t xml:space="preserve">161.87 GB / 150.75 GiB</t>
  </si>
  <si>
    <t xml:space="preserve">Apex / TF_OMEGA, Arthur, Deep Think adversary; reasoning and long context</t>
  </si>
  <si>
    <t xml:space="preserve">The only named engine with a lossless fitting rung (bit-identical to the official weights on all 1,328 tensors; KLD about 0, 100% top-1), inside the pin, MIT; AA 34.3, CritPt 16.6 lead, HLE 38.6, GPQA 90.8; the dsv4 KV (about 6,880 B/token) lets a 1M context fit. 0731 ships no MTP head (DSpark only). V4.1-Flash (552B) is a different model, governed by the Lucebox report as an evaluation-only trial (D-46); every fitting V4.1 file is 2-3 bit (KL about 0.26). huihui's abliterated 0731 is excluded (experts not ablated, 4-bit only).</t>
  </si>
  <si>
    <t xml:space="preserve">Arsenal report verdict row 1 (L42); verification_named_heavyweight_moe row 4. Roster report L68, L86, L110, Addendum L126-L136. Lucebox report Inputs rows 1-2 (L392-393).</t>
  </si>
  <si>
    <t xml:space="preserve">N-02</t>
  </si>
  <si>
    <t xml:space="preserve">Qwen3-235B-A22B</t>
  </si>
  <si>
    <t xml:space="preserve">Exclude</t>
  </si>
  <si>
    <t xml:space="preserve">Q5_K_S (about 5.5 bpw), or Q4_K_M for long context</t>
  </si>
  <si>
    <t xml:space="preserve">161.88 GB / 150.76 GiB</t>
  </si>
  <si>
    <t xml:space="preserve">None; its post-trains Intern-S1 (science) and Baichuan-M3 (medical) take seats</t>
  </si>
  <si>
    <t xml:space="preserve">Superseded: a 2025 model at AA 12.7, far below the 2026 leaders, and its 188 KiB/token KV caps the 5-bit rung near 23K context after buffers.</t>
  </si>
  <si>
    <t xml:space="preserve">Arsenal report verdict row 2 (L43); verification_named_heavyweight_moe row 13.</t>
  </si>
  <si>
    <t xml:space="preserve">N-03</t>
  </si>
  <si>
    <t xml:space="preserve">GLM-5.3-Flash 320B</t>
  </si>
  <si>
    <t xml:space="preserve">Include with conditions</t>
  </si>
  <si>
    <t xml:space="preserve">UD-IQ4_XS (KLD 0.117, 88.2% top-1, lossy)</t>
  </si>
  <si>
    <t xml:space="preserve">156.82 GB / 146.05 GiB</t>
  </si>
  <si>
    <t xml:space="preserve">General quality lead: Ren, Gideon, Silas, Helena, Victor, Minerva primary; vision (glm5v); long documents; Deep Think generator</t>
  </si>
  <si>
    <t xml:space="preserve">Conditions: re-pin to b11279 / v0.6.0 or later (D-01) and the KLD run (T-03). AA 41.8, top in-envelope; MIT; leads most legal, finance, medical, agentic and long-context boards but fits only at about 4 bits. KV 19,712 B/token f16 with the DSA indexer, about 469K context after a 9 GiB allowance. The roster research rejected it as 3-bit only (UD-Q3_K_XL 147.54 GB) with a Vulkan CPU fallback for its hyper-connection op and --kv-unified needed; those cautions become T-04.</t>
  </si>
  <si>
    <t xml:space="preserve">Arsenal report verdict row 3 (L44); Arsenal CR G1, G2. Roster report L35, L56, L86; Roster gap_closure L385.</t>
  </si>
  <si>
    <t xml:space="preserve">N-04</t>
  </si>
  <si>
    <t xml:space="preserve">Qwen3-Coder-Next</t>
  </si>
  <si>
    <t xml:space="preserve">Q8_0 (practical); BF16 also fits</t>
  </si>
  <si>
    <t xml:space="preserve">Q8_0 84.81 GB / 78.99 GiB; BF16 159.46 GB / 148.51 GiB</t>
  </si>
  <si>
    <t xml:space="preserve">Dedicated coder, only if the Principal wants one (D-19)</t>
  </si>
  <si>
    <t xml:space="preserve">Just above the 70B floor (79.7B total, 3B active), inside the pin; the only named engine whose full BF16 fits with 256K context, but BF16 decode is kernel-limited (about 9 tok/s projected on Vulkan) against 37-44 projected at Q8_0; neither rung has a gfx1151 llama.cpp measurement. Vendor SWE-bench Verified 70.6-71.3, Aider 66.2; AA 9.24; GLM beats it on SWE-bench (Vals). Apache 2.0 rests on the card (LICENSE file missing).</t>
  </si>
  <si>
    <t xml:space="preserve">Arsenal report verdict row 4 (L45); verification_quantization_value row 19. Roster report L70, L90; Roster gap_closure L61-L63, L412.</t>
  </si>
  <si>
    <t xml:space="preserve">N-05</t>
  </si>
  <si>
    <t xml:space="preserve">Llama 4 Maverick</t>
  </si>
  <si>
    <t xml:space="preserve">2-3 bit only: UD-Q2_K_XL or i1-IQ3_XS</t>
  </si>
  <si>
    <t xml:space="preserve">UD-Q2_K_XL 152.66 GB / 142.17 GiB; i1-IQ3_XS 163.35 GB / 152.13 GiB</t>
  </si>
  <si>
    <t xml:space="preserve">None</t>
  </si>
  <si>
    <t xml:space="preserve">No KLD at any fitting rung and near the bottom of every current board (AA 9.3; LMArena #260 of 415); only 2-3 bit rungs fit, which the less-quantisation rule rejects (D-24). Vision works at the pin, but the model is out-classed.</t>
  </si>
  <si>
    <t xml:space="preserve">Arsenal report verdict row 5 (L46); verification_named_heavyweight_moe row 17.</t>
  </si>
  <si>
    <t xml:space="preserve">N-06</t>
  </si>
  <si>
    <t xml:space="preserve">Mistral Large 2 Uncensored</t>
  </si>
  <si>
    <t xml:space="preserve">Q4_0 (the named Ollama build)</t>
  </si>
  <si>
    <t xml:space="preserve">69.08 GB / 64.34 GiB</t>
  </si>
  <si>
    <t xml:space="preserve">None (D-06)</t>
  </si>
  <si>
    <t xml:space="preserve">gdisney/mistral-large-uncensored is stock Mistral-Large-2407 at legacy Q4_0 plus a system prompt instructing misinformation, under the research and non-commercial MRL licence. The weight-edited alternative is XORTRON (2411 Heretic) Q8_0 130.28 GB / 121.33 GiB, a dense 123B at about 1.7 tok/s.</t>
  </si>
  <si>
    <t xml:space="preserve">Arsenal report verdict row 6 (L47); verification_named_120b_class_and_uncensored L52.</t>
  </si>
  <si>
    <t xml:space="preserve">N-07</t>
  </si>
  <si>
    <t xml:space="preserve">Qwen3.8 Flash-Next</t>
  </si>
  <si>
    <t xml:space="preserve">UD-Q6_K_XL (KLD 0.0271, matches its own Q8_0)</t>
  </si>
  <si>
    <t xml:space="preserve">169.17 GB / 157.55 GiB</t>
  </si>
  <si>
    <t xml:space="preserve">Corporate challenger; runner-up for Ren and Victor; science QA; coding; vision; Deep Think third opinion</t>
  </si>
  <si>
    <t xml:space="preserve">Re-pin advised (b11330 or later): it loads at the pin, but its Vulkan hyper-connection ops (#28988), MTP (#29761) and the #29751 attention fix are later (measured only at UD-IQ4_XS on 128 GB Ryzen AI Max+ 395 boxes: 26.9-27.2 tok/s without MTP (the roster infers v0.4.1 gets this) and 41.3 with MTP on PR #28243 fork builds; nothing is measured at UD-Q6_K_XL (23-29 tok/s projected)). AA 39.8 (second of the twelve), GPQA 92.3, Terminal-Bench 2.1 86.1 (top open); Qwen Community 1.0, internal use exempt (D-03). About 6.5 GiB left, so companion growth can push it to UD-Q5_K_XL (D-28). Its huihui v2 (unsloth-recipe UD-Q6_K_XL 157.55 GiB, experts not ablated) and cygnal Heretic2 (IQ4_XS) abliterations are excluded: neither publishes refusal or quality data.</t>
  </si>
  <si>
    <t xml:space="preserve">Arsenal report verdict row 7 (L48); verification_named_heavyweight_moe row 19. Roster report L66, L82, L110, Addendum L126-L136; Roster gap_closure L373-L374, L400.</t>
  </si>
  <si>
    <t xml:space="preserve">N-08</t>
  </si>
  <si>
    <t xml:space="preserve">Nemotron 3 Super Q8</t>
  </si>
  <si>
    <t xml:space="preserve">Q8_0 (release precision), 4 shards</t>
  </si>
  <si>
    <t xml:space="preserve">128.47 GB / 119.65 GiB</t>
  </si>
  <si>
    <t xml:space="preserve">Long-context utility; long-document runner-up; Estate option, no longer Arthur's default (D-13)</t>
  </si>
  <si>
    <t xml:space="preserve">Fits with about 44 GiB spare and a 1M-token context at tiny KV, inside the pin, but AA 12.8 and its card discloses an HLE/GPQA contamination risk; no MTP at the pin. The Vulkan fault near 20K-token prompts (#20732) was closed with no fix (T-12). Licence read (D-04); an optional Heretic build exists (D-58).</t>
  </si>
  <si>
    <t xml:space="preserve">Arsenal report verdict row 8 (L49); verification_quantization_value L28. Roster report L67, L84; Roster gap_closure L380, L418, L437.</t>
  </si>
  <si>
    <t xml:space="preserve">N-09</t>
  </si>
  <si>
    <t xml:space="preserve">gpt-oss-120b</t>
  </si>
  <si>
    <t xml:space="preserve">MXFP4 (release precision); F16-trunk is the highest-precision GGUF (D-59)</t>
  </si>
  <si>
    <t xml:space="preserve">MXFP4 63.39 GB / 59.03 GiB; F16-trunk 65.37 GB / 60.88 GiB</t>
  </si>
  <si>
    <t xml:space="preserve">Fast utility, drafting, Sentinel escalation; fallback floor for every seat (D-40)</t>
  </si>
  <si>
    <t xml:space="preserve">Native MXFP4 experts make it lossless at release precision, and it is the fastest engine: 57-60 tok/s projected by the arsenal, 53.8-55.6 measured on 128 GB boxes (roster). AA 11.6 makes it a speed engine, not a quality seat, now that co-residency no longer rewards its size (D-12).</t>
  </si>
  <si>
    <t xml:space="preserve">Arsenal report verdict row 9 (L50); verification_quantization_value row 22. Roster report L66, L82, Addendum L128, L134.</t>
  </si>
  <si>
    <t xml:space="preserve">N-10</t>
  </si>
  <si>
    <t xml:space="preserve">gpt-oss-120b Abliterated</t>
  </si>
  <si>
    <t xml:space="preserve">ArliAI Derestricted Q8_0 (or Derestricted MXFP4_MOE)</t>
  </si>
  <si>
    <t xml:space="preserve">Q8_0 124.30 GB / 115.76 GiB; MXFP4_MOE 63.39 GB / 59.03 GiB</t>
  </si>
  <si>
    <t xml:space="preserve">Explicit-override uncensored seat for Ren and Arthur; Valerie fallback</t>
  </si>
  <si>
    <t xml:space="preserve">Condition: the Derestricted build, not the node's current file. The current huihui v2 -&gt; noctrex MXFP4_MOE has no provenance card or data and huihui's repos return 401 (retire, D-09); kldzj Heretic v2 measures KL 0.53 with 22/100 refusals. Derestricted is the best measured variant (UGI NatInt 35.70 vs base 33.68), Apache 2.0, and its Q8_0 keeps the edited experts near BF16.</t>
  </si>
  <si>
    <t xml:space="preserve">Arsenal report verdict row 10 (L51); Arsenal CR G4 (L118-122). Roster report L80, L108; Roster gap_closure L349, L393, L455.</t>
  </si>
  <si>
    <t xml:space="preserve">N-11</t>
  </si>
  <si>
    <t xml:space="preserve">Q8_0 or BF16</t>
  </si>
  <si>
    <t xml:space="preserve">Q8_0 0.31 GB / 0.29 GiB; BF16 0.56 GB / 0.52 GiB</t>
  </si>
  <si>
    <t xml:space="preserve">Optional multimodal and code side index, not the primary embedder (D-60)</t>
  </si>
  <si>
    <t xml:space="preserve">Condition: side index only, after a re-pin to b11452 or later (b11474 covers it, v0.6.0 does not). MTEB multilingual 61.36 (+0.21 over EG1), English -1.21, 9-13 points below the 8B-27B leaders; its value is one shared space for text, image, video and audio plus code retrieval (+9.92).</t>
  </si>
  <si>
    <t xml:space="preserve">Arsenal report verdict row 11 (L52); verification_named_companion_engines rows 4-6.</t>
  </si>
  <si>
    <t xml:space="preserve">N-12</t>
  </si>
  <si>
    <t xml:space="preserve">Nemotron 3 Diarization</t>
  </si>
  <si>
    <t xml:space="preserve">Official Q8_0 GGUF (NeMo-Speech.cpp format, not llama.cpp)</t>
  </si>
  <si>
    <t xml:space="preserve">0.11 GB / 0.10 GiB</t>
  </si>
  <si>
    <t xml:space="preserve">Primary diariser (C-06)</t>
  </si>
  <si>
    <t xml:space="preserve">Best open result on the only same-harness comparison (OpenBench average DER 0.19 vs pyannote community-1 0.28; 0.206 vs 0.300 without the contaminated VoxConverse set); OpenMDW-1.1 (D-05); tiny memory; runs on the node's ggml/Vulkan stack. Handles up to eight speakers; community-1 stays the fallback beyond that.</t>
  </si>
  <si>
    <t xml:space="preserve">Arsenal report verdict row 12 (L53); verification_named_companion_engines rows 18, 23. Roster report L77, L102.</t>
  </si>
  <si>
    <t xml:space="preserve">Persona allocation</t>
  </si>
  <si>
    <t xml:space="preserve">Recommended engine for each persona and agent, each running alone at the least-quantised rung that fits. Projections until the node measures them.</t>
  </si>
  <si>
    <t xml:space="preserve">Persona or agent</t>
  </si>
  <si>
    <t xml:space="preserve">Discipline</t>
  </si>
  <si>
    <t xml:space="preserve">Recommended engine</t>
  </si>
  <si>
    <t xml:space="preserve">Rung</t>
  </si>
  <si>
    <t xml:space="preserve">Decode (basis)</t>
  </si>
  <si>
    <t xml:space="preserve">Strongest evidence</t>
  </si>
  <si>
    <t xml:space="preserve">Runner-up</t>
  </si>
  <si>
    <t xml:space="preserve">P-01</t>
  </si>
  <si>
    <t xml:space="preserve">Ren (Corporate lead)</t>
  </si>
  <si>
    <t xml:space="preserve">General, negotiation, geopolitics</t>
  </si>
  <si>
    <t xml:space="preserve">GLM-5.3-Flash (unsloth UD-IQ4_XS) (provisional: UD-IQ4_XS is lossy, KLD 0.117; pending the node KLD run T-03, D-02)</t>
  </si>
  <si>
    <t xml:space="preserve">UD-IQ4_XS</t>
  </si>
  <si>
    <t xml:space="preserve">12-14 tok/s projected (17.4 measured on a PRO 495 at 3.84 bpw, Vulkan, post-pin build)</t>
  </si>
  <si>
    <t xml:space="preserve">AA 41.8, top in-envelope; LMArena #29 overall. KV 19,712 B/token f16, about 469K context after a 9 GiB allowance. Replaces gpt-oss-120b as Corporate default (D-12).</t>
  </si>
  <si>
    <t xml:space="preserve">Qwen3.8-Flash-Next UD-Q6_K_XL</t>
  </si>
  <si>
    <t xml:space="preserve">Arsenal report allocation L17. Roster report L66, L82.</t>
  </si>
  <si>
    <t xml:space="preserve">P-02</t>
  </si>
  <si>
    <t xml:space="preserve">Arthur (Estate lead)</t>
  </si>
  <si>
    <t xml:space="preserve">General, estate, academia</t>
  </si>
  <si>
    <t xml:space="preserve">DeepSeek-V4-Flash-0731 (unsloth UD-Q8_K_XL)</t>
  </si>
  <si>
    <t xml:space="preserve">UD-Q8_K_XL</t>
  </si>
  <si>
    <t xml:space="preserve">About 7 tok/s on mainline Vulkan (floor; in-pin kernels unmeasured); about 11 at UD-Q4_K_XL</t>
  </si>
  <si>
    <t xml:space="preserve">Bit-exact, KLD about 0; AA 34.3; CritPt 16.6 lead. KV about 6,880 B/token f16, so a 1M context fits. Replaces Nemotron 3 Super as Estate default (D-13).</t>
  </si>
  <si>
    <t xml:space="preserve">GLM-5.3-Flash (diversity against Ren); Nemotron 3 Super Q8_0 (former default)</t>
  </si>
  <si>
    <t xml:space="preserve">Arsenal report allocation L18. Roster report L67, L84.</t>
  </si>
  <si>
    <t xml:space="preserve">P-03</t>
  </si>
  <si>
    <t xml:space="preserve">Gideon (law, strata, HR)</t>
  </si>
  <si>
    <t xml:space="preserve">Legal, compliance</t>
  </si>
  <si>
    <t xml:space="preserve">GLM-5.3-Flash (provisional: UD-IQ4_XS is lossy, KLD 0.117; pending the node KLD run T-03, D-02)</t>
  </si>
  <si>
    <t xml:space="preserve">12-14 tok/s projected</t>
  </si>
  <si>
    <t xml:space="preserve">LegalBench 83.93% (top open model that fits); Legal Research 45.19%. US-centric boards only; no Australian-law or HR evaluation exists (D-49). GLM Legal (86.23%) is API-only, on the watch-list.</t>
  </si>
  <si>
    <t xml:space="preserve">DeepSeek-V4-Flash-0731 (LegalBench 77.71%)</t>
  </si>
  <si>
    <t xml:space="preserve">Arsenal report allocation L19. Roster report L94.</t>
  </si>
  <si>
    <t xml:space="preserve">P-04</t>
  </si>
  <si>
    <t xml:space="preserve">Silas (CFO, audit, fraud)</t>
  </si>
  <si>
    <t xml:space="preserve">Finance, tax</t>
  </si>
  <si>
    <t xml:space="preserve">Finance Agent v2 57.85% (top open); TaxEval 75.59%.</t>
  </si>
  <si>
    <t xml:space="preserve">Ling-3.0-flash-Fin Q8_0 135.63 GB / 126.32 GiB (finance-tuned, lossless; FAB v2 54.93%; D-18)</t>
  </si>
  <si>
    <t xml:space="preserve">Arsenal report allocation L20.</t>
  </si>
  <si>
    <t xml:space="preserve">P-05</t>
  </si>
  <si>
    <t xml:space="preserve">Valerie (infra, DevOps, cyber; uncensored default)</t>
  </si>
  <si>
    <t xml:space="preserve">Cybersecurity, AEGIS</t>
  </si>
  <si>
    <t xml:space="preserve">MiMo-V2.6-Flash uncensored (dealignai RL-UNCENSORED, AliceThirty MXFP4)</t>
  </si>
  <si>
    <t xml:space="preserve">MXFP4</t>
  </si>
  <si>
    <t xml:space="preserve">168.42 GB / 156.85 GiB</t>
  </si>
  <si>
    <t xml:space="preserve">About 18 tok/s (stock MiMo MXFP4 measured 18.3 on a PRO 495, ROCm)</t>
  </si>
  <si>
    <t xml:space="preserve">Vals CyberBench 75.36% (top open); MMLU -0.14 pp against base. Fits with about 7 GiB spare. The roster research put it after the pin; the arsenal review (C6) finds the mimo2 runtime in v0.4.1, so loading at the pin is untested (T-09).</t>
  </si>
  <si>
    <t xml:space="preserve">gpt-oss-120b Derestricted Q8_0 (D-07 (b))</t>
  </si>
  <si>
    <t xml:space="preserve">Arsenal report allocation L21; Arsenal CR C6. Roster report L38; Roster gap_closure L378.</t>
  </si>
  <si>
    <t xml:space="preserve">P-06</t>
  </si>
  <si>
    <t xml:space="preserve">Helena (comms, PR, crisis, creative)</t>
  </si>
  <si>
    <t xml:space="preserve">Communications, creative</t>
  </si>
  <si>
    <t xml:space="preserve">LMArena creative #45 (top open); entertainment #38. No EQ-Bench result exists for GLM.</t>
  </si>
  <si>
    <t xml:space="preserve">DeepSeek-V4-Flash-0731 (EQ-Bench Creative Writing 1441.1; the stronger 1559.1 belongs to the April preview checkpoint, not 0731)</t>
  </si>
  <si>
    <t xml:space="preserve">Arsenal report allocation L22.</t>
  </si>
  <si>
    <t xml:space="preserve">P-07</t>
  </si>
  <si>
    <t xml:space="preserve">Minerva (health, longevity)</t>
  </si>
  <si>
    <t xml:space="preserve">Medicine; cross-check</t>
  </si>
  <si>
    <t xml:space="preserve">GLM-5.3-Flash primary (provisional: UD-IQ4_XS is lossy, KLD 0.117; pending the node KLD run T-03, D-02) + Baichuan-M3-235B cross-check</t>
  </si>
  <si>
    <t xml:space="preserve">UD-IQ4_XS / Q5_K_S (or official Q4_K_M)</t>
  </si>
  <si>
    <t xml:space="preserve">146.05 GiB; Baichuan Q5_K_S 161.88 GB / 150.76 GiB or Q4_K_M 143.78 GB / 133.91 GiB</t>
  </si>
  <si>
    <t xml:space="preserve">GLM 12-14 tok/s; Baichuan-M3 8-13 tok/s (projections; no gfx1151 measurement)</t>
  </si>
  <si>
    <t xml:space="preserve">GLM MedScribe 88.94%, MLCR 51.1 (top open); Baichuan-M3 HealthBench 65.1 / Hard 44.4 (vendor, no independent index). Baichuan's 188 KiB/token KV caps context near 23K at Q5 (D-16). Replaces Meditron-70B (D-15).</t>
  </si>
  <si>
    <t xml:space="preserve">Intern-S1 (science subdomains); MedGemma-27B dropped under the 70B floor</t>
  </si>
  <si>
    <t xml:space="preserve">Arsenal report allocation L23. Roster report L71, L96, Addendum L132, L140.</t>
  </si>
  <si>
    <t xml:space="preserve">P-08</t>
  </si>
  <si>
    <t xml:space="preserve">Victor (aviation, transport, concierge)</t>
  </si>
  <si>
    <t xml:space="preserve">No domain board</t>
  </si>
  <si>
    <t xml:space="preserve">General leaders only (tau-Banking 47.2, GDPval-AA, AutomationBench 60.4); quality can be settled only on the Principal's own test sets (D-49).</t>
  </si>
  <si>
    <t xml:space="preserve">Qwen3.8-Flash-Next</t>
  </si>
  <si>
    <t xml:space="preserve">Arsenal report allocation L24.</t>
  </si>
  <si>
    <t xml:space="preserve">P-09</t>
  </si>
  <si>
    <t xml:space="preserve">Alaric (OSINT, protection, Sentinel)</t>
  </si>
  <si>
    <t xml:space="preserve">Physical security, OSINT</t>
  </si>
  <si>
    <t xml:space="preserve">MiMo-V2.6-Flash uncensored (shared with Valerie)</t>
  </si>
  <si>
    <t xml:space="preserve">About 18 tok/s (stock MiMo MXFP4 measured, PRO 495, ROCm)</t>
  </si>
  <si>
    <t xml:space="preserve">No OSINT or physical-security board; cyber lead plus generalist strength.</t>
  </si>
  <si>
    <t xml:space="preserve">GLM-5.3-Flash</t>
  </si>
  <si>
    <t xml:space="preserve">Arsenal report allocation L25.</t>
  </si>
  <si>
    <t xml:space="preserve">P-10</t>
  </si>
  <si>
    <t xml:space="preserve">Eleanor (router, dispatch, logistics)</t>
  </si>
  <si>
    <t xml:space="preserve">Classification, routing, LightRAG extraction</t>
  </si>
  <si>
    <t xml:space="preserve">Qwen3.5-4B (resident companion)</t>
  </si>
  <si>
    <t xml:space="preserve">Q8_0</t>
  </si>
  <si>
    <t xml:space="preserve">4.5 GB / 4.19 GiB</t>
  </si>
  <si>
    <t xml:space="preserve">Fast; always resident, thinking off (no measured figure)</t>
  </si>
  <si>
    <t xml:space="preserve">A companion, outside the no-small-models rule; the only 4B-class model with a 2026 date and llama.cpp text and vision; Qwen 3.8 shipped no small model (G8).</t>
  </si>
  <si>
    <t xml:space="preserve">Gemma 4 E4B; Granite 4.1 8B (no measured routing advantage)</t>
  </si>
  <si>
    <t xml:space="preserve">Arsenal report allocation L26. Roster report L74, L100.</t>
  </si>
  <si>
    <t xml:space="preserve">P-11</t>
  </si>
  <si>
    <t xml:space="preserve">Deep Think generator / adversary</t>
  </si>
  <si>
    <t xml:space="preserve">Cross-model reasoning</t>
  </si>
  <si>
    <t xml:space="preserve">GLM-5.3-Flash + DeepSeek-V4-Flash-0731 (two families)</t>
  </si>
  <si>
    <t xml:space="preserve">UD-IQ4_XS / UD-Q8_K_XL</t>
  </si>
  <si>
    <t xml:space="preserve">146.05 GiB; 150.75 GiB</t>
  </si>
  <si>
    <t xml:space="preserve">As each engine, run in turn at about 50-85 s per swap plus re-prefill</t>
  </si>
  <si>
    <t xml:space="preserve">AA HLE 39.9 / 38.6; GPQA 91.2 / 90.8 (D-22).</t>
  </si>
  <si>
    <t xml:space="preserve">Qwen3.8-Flash-Next (third opinion)</t>
  </si>
  <si>
    <t xml:space="preserve">Arsenal report allocation L27.</t>
  </si>
  <si>
    <t xml:space="preserve">P-12</t>
  </si>
  <si>
    <t xml:space="preserve">TF_OMEGA / Apex</t>
  </si>
  <si>
    <t xml:space="preserve">Deepest synthesis</t>
  </si>
  <si>
    <t xml:space="preserve">DeepSeek-V4-Flash-0731 UD-Q8_K_XL, until the node KLD run decides</t>
  </si>
  <si>
    <t xml:space="preserve">About 7 tok/s on mainline Vulkan (floor); about 11 at UD-Q4_K_XL; measured only at 2-3 bits on 128 GB Ryzen AI Max+ 395 boxes: UD-IQ2_XXS 12.6-13.3 on stock Vulkan and 18.9 on a fork; UD-IQ3_XXS 11.9 on mainline b10488 and 18.4 on a fork</t>
  </si>
  <si>
    <t xml:space="preserve">Bit-exact, KLD about 0 (UD-Q4_K_XL 0.0102); HLE 38.6, GPQA 90.8; a 1M context fits (D-11).</t>
  </si>
  <si>
    <t xml:space="preserve">GLM-5.3-Flash UD-IQ4_XS (AA 41.8, lossy); K2-Horizon-375B IQ3_XXS (AA 31); V4.1 Flash as an evaluation-only trial (D-46); Qwen3.5-397B 3-bit dropped</t>
  </si>
  <si>
    <t xml:space="preserve">Arsenal report allocation L28. Roster report L68, L86, Addendum L136. Lucebox report Inputs row 1.</t>
  </si>
  <si>
    <t xml:space="preserve">P-13</t>
  </si>
  <si>
    <t xml:space="preserve">Documents, drawings, scans</t>
  </si>
  <si>
    <t xml:space="preserve">GLM-5.3-Flash + glm5v mmproj (provisional: UD-IQ4_XS is lossy, KLD 0.117; pending the node KLD run T-03, D-02)</t>
  </si>
  <si>
    <t xml:space="preserve">UD-IQ4_XS + 0.65 GB mmproj</t>
  </si>
  <si>
    <t xml:space="preserve">156.82 GB / 146.05 GiB (+0.65 GB)</t>
  </si>
  <si>
    <t xml:space="preserve">LMArena vision #23 (top open); Vals MMMU 86.01%. Needs the re-pin; runs on the default engine's own unit, so no swap while GLM is resident (D-20).</t>
  </si>
  <si>
    <t xml:space="preserve">Qwen3-VL-235B Q5_K_S 150.76 GiB + 1.16 GB mmproj (OmniDocBench 89.78, at the pin); Qwen3.5-122B Q8_0 + mmproj (roster's at-pin pick, MMMU 83.9 self-reported; retired under D-21)</t>
  </si>
  <si>
    <t xml:space="preserve">Arsenal report allocation L29. Roster report L72, L88, L98.</t>
  </si>
  <si>
    <t xml:space="preserve">P-14</t>
  </si>
  <si>
    <t xml:space="preserve">Long-document engine ([ARTHUR:LONG])</t>
  </si>
  <si>
    <t xml:space="preserve">Records, long context</t>
  </si>
  <si>
    <t xml:space="preserve">12-14 tok/s projected; about 6 by 128K context in review</t>
  </si>
  <si>
    <t xml:space="preserve">AA-LCR 80.0, MRCR 128K 62.9; small KV, about 469K context after a 9 GiB allowance (D-38).</t>
  </si>
  <si>
    <t xml:space="preserve">Nemotron 3 Super Q8_0 (1M context, tiny KV); Qwen3.5-122B-A10B Q8_0 (roster's at-pin engine, AA 16; retired under D-21)</t>
  </si>
  <si>
    <t xml:space="preserve">Arsenal report allocation L30. Roster report L69, L88.</t>
  </si>
  <si>
    <t xml:space="preserve">P-15</t>
  </si>
  <si>
    <t xml:space="preserve">Science specialist (domains 15, 35, 36)</t>
  </si>
  <si>
    <t xml:space="preserve">Chemistry, materials, synthetic biology</t>
  </si>
  <si>
    <t xml:space="preserve">Intern-S1 (bartowski Q5_K_S)</t>
  </si>
  <si>
    <t xml:space="preserve">Q5_K_S (Q4_K_M 132.86 GiB for longer context)</t>
  </si>
  <si>
    <t xml:space="preserve">161.96 GB / 150.84 GiB</t>
  </si>
  <si>
    <t xml:space="preserve">10-13 tok/s projected</t>
  </si>
  <si>
    <t xml:space="preserve">ChemBench 83.4, MatBench 75.0, ProteinLMBench 63.1 (vendor); qwen3moe at the pin (D-17).</t>
  </si>
  <si>
    <t xml:space="preserve">GLM-5.3-Flash (general)</t>
  </si>
  <si>
    <t xml:space="preserve">Arsenal report allocation L31.</t>
  </si>
  <si>
    <t xml:space="preserve">P-16</t>
  </si>
  <si>
    <t xml:space="preserve">Coder (if dedicated)</t>
  </si>
  <si>
    <t xml:space="preserve">Software, DevOps scripting</t>
  </si>
  <si>
    <t xml:space="preserve">Q8_0 (BF16 if unquantised weights are wanted)</t>
  </si>
  <si>
    <t xml:space="preserve">84.81 GB / 78.99 GiB (BF16 159.46 GB / 148.51 GiB)</t>
  </si>
  <si>
    <t xml:space="preserve">37-44 tok/s projected at Q8_0 (corrected band; no llama.cpp measurement on gfx1151); about 9 projected at BF16 on Vulkan (kernel-limited; about 23 projected on ROCm)</t>
  </si>
  <si>
    <t xml:space="preserve">Vendor SWE-bench Verified 70.6-71.3; AA 9.24; BF16 with 256K context fits at 154.5 GiB. The arsenal table lists BF16, its verdict calls Q8_0 practical (D-19). Qwen3.8-27B dropped (under the floor).</t>
  </si>
  <si>
    <t xml:space="preserve">GLM-5.3-Flash (SWE-bench 92%, Vals)</t>
  </si>
  <si>
    <t xml:space="preserve">Arsenal report allocation L32. Roster report L70, L90.</t>
  </si>
  <si>
    <t xml:space="preserve">P-17</t>
  </si>
  <si>
    <t xml:space="preserve">Ren and Arthur explicit uncensored override</t>
  </si>
  <si>
    <t xml:space="preserve">Uncensored work on the Principal's explicit order</t>
  </si>
  <si>
    <t xml:space="preserve">gpt-oss-120b Derestricted (ArliAI)</t>
  </si>
  <si>
    <t xml:space="preserve">124.30 GB / 115.76 GiB</t>
  </si>
  <si>
    <t xml:space="preserve">About 37-39 tok/s projected</t>
  </si>
  <si>
    <t xml:space="preserve">UGI NatInt 35.70 vs base 33.68 (huihui 16.72); Apache 2.0; edited experts kept near BF16. Every uncensored output still passes the approval gate (R13) (D-08).</t>
  </si>
  <si>
    <t xml:space="preserve">Abliterated Qwen3.5-122B-A10B Q8_0 129.87 GB / 120.95 GiB (roster's pick, no refusal or quality data); MiMo uncensored</t>
  </si>
  <si>
    <t xml:space="preserve">Arsenal report Inputs L99, uncensored L82. Roster report L80, L110, Addendum L140.</t>
  </si>
  <si>
    <t xml:space="preserve">P-18</t>
  </si>
  <si>
    <t xml:space="preserve">Fast utility (drafting, Sentinel escalation)</t>
  </si>
  <si>
    <t xml:space="preserve">Drafting, triage, escalation</t>
  </si>
  <si>
    <t xml:space="preserve">MXFP4 (F16-trunk GGUF per D-59)</t>
  </si>
  <si>
    <t xml:space="preserve">63.39 GB / 59.03 GiB (F16-trunk 65.37 GB / 60.88 GiB)</t>
  </si>
  <si>
    <t xml:space="preserve">57-60 tok/s projected; 53.8-55.6 measured on 128 GB boxes</t>
  </si>
  <si>
    <t xml:space="preserve">AA 11.6; lossless at native MXFP4; loads at the current pin, so it is also every seat's fallback floor (D-12, D-40).</t>
  </si>
  <si>
    <t xml:space="preserve">Nemotron 3 Super Q8_0 (13.6-15.8 tok/s projected)</t>
  </si>
  <si>
    <t xml:space="preserve">Arsenal report verdict row 9 (L50), directives L7. Roster report L66, L82.</t>
  </si>
  <si>
    <t xml:space="preserve">Companions</t>
  </si>
  <si>
    <t xml:space="preserve">Companion engines (router, retrieval, OCR, speech, diarisation, voice, image). Small models are allowed here; the no-small-models rule covers LLM seats only.</t>
  </si>
  <si>
    <t xml:space="preserve">Role</t>
  </si>
  <si>
    <t xml:space="preserve">Current engine</t>
  </si>
  <si>
    <t xml:space="preserve">Alternatives</t>
  </si>
  <si>
    <t xml:space="preserve">C-01</t>
  </si>
  <si>
    <t xml:space="preserve">Router (Eleanor)</t>
  </si>
  <si>
    <t xml:space="preserve">Qwen3.5-4B Q8_0, 4.5 GB, always resident (port 8108)</t>
  </si>
  <si>
    <t xml:space="preserve">Keep.</t>
  </si>
  <si>
    <t xml:space="preserve">Gemma 4 E4B; Granite 4.1 8B</t>
  </si>
  <si>
    <t xml:space="preserve">No newer sub-10B model exists in the family, and the router is a classifier, not an LLM seat, so the no-small-models rule does not apply.</t>
  </si>
  <si>
    <t xml:space="preserve">Arsenal report companions L84; Arsenal CR G8 (L191). Roster report L74, L100.</t>
  </si>
  <si>
    <t xml:space="preserve">C-02</t>
  </si>
  <si>
    <t xml:space="preserve">Embeddings (primary)</t>
  </si>
  <si>
    <t xml:space="preserve">bge-m3 Q8_0, 0.7 GB, 1024-dim, always resident (port 8109; MTEB multilingual 59.56)</t>
  </si>
  <si>
    <t xml:space="preserve">Qwen3-Embedding-8B Q8_0 (8.05 GB / 7.49 GiB; MTEB multilingual 70.58), or the 4B (4.28 GB / 3.99 GiB; 69.45) if D-14 picks the 4B pair; serve with --embedding --pooling last -ub 8192, truncate to the 1024-dim schema and re-normalise; re-index per D-45.</t>
  </si>
  <si>
    <t xml:space="preserve">Nemotron-3-Embed-8B (RTEB 75.45, OpenMDW-1.1, sliceable to 1024); Qwen3-Embedding-0.6B (64.33); keep bge-m3. Harrier-27B (74.3) is not faithful at any pin (the gemma-embedding loader forces bidirectional attention).</t>
  </si>
  <si>
    <t xml:space="preserve">An 8-bit embedder costs only about 0.2-0.6 points, and bge-m3 is about 11 points behind. Qwen's official GGUF carries pooling LAST and works with the pinned llama-server. Every resident GiB comes off the single engine's budget.</t>
  </si>
  <si>
    <t xml:space="preserve">D-14; D-05 (if Nemotron-3-Embed); T-15</t>
  </si>
  <si>
    <t xml:space="preserve">Arsenal report companions L84; verification_named_companion_engines rows 12-16. Roster report L75, L100, Addendum L132; Roster gap_closure L73-L74.</t>
  </si>
  <si>
    <t xml:space="preserve">C-03</t>
  </si>
  <si>
    <t xml:space="preserve">Reranker</t>
  </si>
  <si>
    <t xml:space="preserve">bge-reranker-v2-m3 Q8_0, 0.7 GB, always resident (port 8110; MMTEB-R 58.36)</t>
  </si>
  <si>
    <t xml:space="preserve">Qwen3-Reranker-8B (MMTEB-R 72.94; Q8_0 8.05 GB / 7.49 GiB) or 4B (72.74; 4.28 GB) per D-14, on /v1/rerank with --reranking and -ub sized to the longest query plus document. Confirm the rank head (pooling RANK, cls.output.weight) before use, or convert locally with the pinned converter.</t>
  </si>
  <si>
    <t xml:space="preserve">ggml-org Qwen3-Reranker-0.6B Q8_0, the only official reranker GGUF (66.36); keep bge-reranker-v2-m3.</t>
  </si>
  <si>
    <t xml:space="preserve">A 14.6-point MMTEB-R gain. Contradiction: the arsenal reads the Voodisss 8B Q8_0 as correctly converted; the roster research did not inspect its headers and found the mradermacher 8B lacks the rank head, so T-15 checks it. The batch-splitting fix (#28876) is post-pin: at v0.4.1 an over-long pair is rejected.</t>
  </si>
  <si>
    <t xml:space="preserve">D-14; D-01; T-15</t>
  </si>
  <si>
    <t xml:space="preserve">Arsenal report companions L84; verification_named_companion_engines row 16; Arsenal CR G1. Roster report L75, L100, Addendum L132; Roster gap_closure L75, L361, L432.</t>
  </si>
  <si>
    <t xml:space="preserve">C-04</t>
  </si>
  <si>
    <t xml:space="preserve">OCR and scanned documents</t>
  </si>
  <si>
    <t xml:space="preserve">No OCR model: Docling on the CPU, Florence-2-large in Phase 4, Qwen2.5-VL-72B as vision engine</t>
  </si>
  <si>
    <t xml:space="preserve">A resident sub-2 GB OCR model beside the text engine, chosen by a node test on the Principal's documents (T-19): OvisOCR2 0.853B (OmniDocBench 96.47) or PaddleOCR-VL-1.6 0.96B (96.34, Apache 2.0 per the HF API read 2026-10-15; the roster could not read it), both at the pin.</t>
  </si>
  <si>
    <t xml:space="preserve">TeleOCR 1.415B (96.91, Apache 2.0); GLM-OCR 0.9B (95.22 on v1.6; ggml-org Q8_0 0.95 GB + 0.48 GB mmproj, MIT, -hf ggml-org/GLM-OCR-GGUF); MinerU2.5-Pro (95.75); dots.ocr.</t>
  </si>
  <si>
    <t xml:space="preserve">On scanned-document transcription a small OCR model beats every 70B+ engine (Qwen3-VL-235B 89.78). Resident, it takes about 1.3-1.5 GiB from every engine's budget; no benchmark covers handwriting or drawings.</t>
  </si>
  <si>
    <t xml:space="preserve">D-14; T-19</t>
  </si>
  <si>
    <t xml:space="preserve">Arsenal report companions L84; Arsenal CR G8 (L182-190). Roster report L73, L100, Addendum L132; Roster gap_closure L77, L413.</t>
  </si>
  <si>
    <t xml:space="preserve">C-05</t>
  </si>
  <si>
    <t xml:space="preserve">Speech-to-text</t>
  </si>
  <si>
    <t xml:space="preserve">faster-whisper large-v3-turbo, CPU int8, via speaches 0.8.3-cpu (port 8881); Open ASR average WER 8.39 (#48)</t>
  </si>
  <si>
    <t xml:space="preserve">Run a WER test on the Principal's audio (T-20) and switch only on its result, keeping Whisper as the fallback. Candidates: Qwen3-ASR-1.7B (WER 5.75; ggml-org Q8_0 2.17 GB + 0.36 GB mmproj on llama-server /v1/audio/transcriptions, at the pin) and Phi-4-multimodal 6B (5.02, MIT).</t>
  </si>
  <si>
    <t xml:space="preserve">granite-speech-3.3 8B / 2B (5.26 / 5.36); parakeet-tdt-0.6b-v3 (6.51); faster-whisper on the GPU via the CTranslate2 4.7 ROCm wheel (11.5x realtime on gfx1151).</t>
  </si>
  <si>
    <t xml:space="preserve">A roughly 3-point WER gap under the quality-first directive. Qwen3-ASR beats Whisper-large-v3 on every English set Qwen lists (Tedlium 4.50 vs 6.84), Apache 2.0, 52 languages. The arsenal notes its Transformers path needs 5.13.0 or later; the roster found the GGUF runs on the pinned llama-server.</t>
  </si>
  <si>
    <t xml:space="preserve">D-26 (phasing); T-20</t>
  </si>
  <si>
    <t xml:space="preserve">Arsenal report companions L84; Arsenal CR G8 (L169-181). Roster report L76, L102, Addendum L132; Roster gap_closure L78, L434.</t>
  </si>
  <si>
    <t xml:space="preserve">C-06</t>
  </si>
  <si>
    <t xml:space="preserve">Speaker diarisation</t>
  </si>
  <si>
    <t xml:space="preserve">pyannote speaker-diarization-3.1 (pyannote.audio 4.0.7) in a CPU venv; community-1 as the scripted fallback (05-voice.sh L156, L162)</t>
  </si>
  <si>
    <t xml:space="preserve">Adopt Nemotron 3 Diarization (official Q8_0, 0.11 GB) via NeMo-Speech.cpp as the primary diariser; switch pyannote from 3.1 to community-1 now, as the interim default and the fallback for more than eight speakers.</t>
  </si>
  <si>
    <t xml:space="preserve">pyannote community-1 alone (OpenBench DER 0.28); DiariZen (CC BY-NC); Sortformer (four-speaker cap); pyannoteAI precision (cloud, forbidden).</t>
  </si>
  <si>
    <t xml:space="preserve">OpenBench average DER 0.19 vs 0.28 on the same harness at tiny memory; community-1 beats 3.1 by 1-4 DER points on 11 of 12 sets (AMI-SDM 19.9 vs 22.7). NeMo-Speech.cpp is a separate runtime with no gfx1151 speed figure yet.</t>
  </si>
  <si>
    <t xml:space="preserve">D-05; T-21</t>
  </si>
  <si>
    <t xml:space="preserve">Arsenal report companions L84, verdict row 12 (L53); Arsenal CR C17 (L246). Roster report L77, L102; Roster gap_closure L100.</t>
  </si>
  <si>
    <t xml:space="preserve">C-07</t>
  </si>
  <si>
    <t xml:space="preserve">EmbeddingGemma 2 side index</t>
  </si>
  <si>
    <t xml:space="preserve">Optional code and multimodal side index after the re-pin, or drop it (D-60); not the primary embedder.</t>
  </si>
  <si>
    <t xml:space="preserve">None needed; the primary pair is unchanged either way.</t>
  </si>
  <si>
    <t xml:space="preserve">MTEB multilingual 61.36 (+0.21 over EG1), English -1.21, code +9.92; one shared space for text, image, video and audio; Q8_0 0.31 GB / 0.29 GiB.</t>
  </si>
  <si>
    <t xml:space="preserve">D-60; D-01 (b11452 or later)</t>
  </si>
  <si>
    <t xml:space="preserve">Arsenal report companions L84, Inputs L103.</t>
  </si>
  <si>
    <t xml:space="preserve">C-08</t>
  </si>
  <si>
    <t xml:space="preserve">Text-to-speech, default</t>
  </si>
  <si>
    <t xml:space="preserve">Kokoro-82M via kokoro-fastapi-cpu v0.9.0 (port 8880)</t>
  </si>
  <si>
    <t xml:space="preserve">CosyVoice3 (Apache 2.0)</t>
  </si>
  <si>
    <t xml:space="preserve">About 1063 Elo on the AA open-weights TTS arena; about 20x realtime on ROCm gfx1151 after the MIOPEN_FIND_MODE=2 warm-up fix. The arsenal research did not re-evaluate TTS.</t>
  </si>
  <si>
    <t xml:space="preserve">Roster report L78, L102. Arsenal report gaps L90; Arsenal CR G8 (L192), open gap 6.</t>
  </si>
  <si>
    <t xml:space="preserve">C-09</t>
  </si>
  <si>
    <t xml:space="preserve">Text-to-speech, character and cloning tier</t>
  </si>
  <si>
    <t xml:space="preserve">Chatterbox 0.1.7 on the CPU, own venv, through the Arbiter</t>
  </si>
  <si>
    <t xml:space="preserve">Move to Chatterbox Turbo 350M (repo 4.04 GB) for English and Multilingual V3 0.5B (3.21 GB, 23 languages), both MIT, after a test on the ROCm 10.0 image (T-23); keep 0.1.7 until then.</t>
  </si>
  <si>
    <t xml:space="preserve">Chatterbox Nano 110M (CPU); Higgs v3 and Fish S2-Pro (non-commercial)</t>
  </si>
  <si>
    <t xml:space="preserve">Turbo's one-step decoder cuts compute; no gfx1151 run exists anywhere, and the documented continuation quirk must be re-tested.</t>
  </si>
  <si>
    <t xml:space="preserve">D-26 (phasing); T-23</t>
  </si>
  <si>
    <t xml:space="preserve">Roster report L78, L102; Roster gap_closure L98-L99.</t>
  </si>
  <si>
    <t xml:space="preserve">C-10</t>
  </si>
  <si>
    <t xml:space="preserve">Text-to-speech, Qwen3-TTS test</t>
  </si>
  <si>
    <t xml:space="preserve">Watch-list: test after the core build (Section 14.1)</t>
  </si>
  <si>
    <t xml:space="preserve">Test Qwen3-TTS-12Hz-1.7B-Base (ggml-org Q8_0 1.85 GB + 0.45 GB mmproj) through llama-tts on the pinned Vulkan build after Day 1, beside Kokoro and Chatterbox in the V7 listening set (T-22).</t>
  </si>
  <si>
    <t xml:space="preserve">0.6B GGUFs exist only for separate runtimes (qwentts.cpp)</t>
  </si>
  <si>
    <t xml:space="preserve">Apache 2.0, three-second cloning, Seed-TTS WER 1.24 (English); support and the Vulkan GET_ROWS fix (#28253) are in the pin, but it is CLI-only until the server endpoint (PR #26603) merges. A speech companion, so the no-small-LLM rule does not apply.</t>
  </si>
  <si>
    <t xml:space="preserve">D-26 (phasing); T-22</t>
  </si>
  <si>
    <t xml:space="preserve">Roster report L78, L102; Roster gap_closure L79, L398, L433. FRAMEWORK_REVIEW 14.1 L737.</t>
  </si>
  <si>
    <t xml:space="preserve">C-11</t>
  </si>
  <si>
    <t xml:space="preserve">Image generation</t>
  </si>
  <si>
    <t xml:space="preserve">FLUX.1-dev (Phase 4 green; non-commercial licence accepted by the Principal)</t>
  </si>
  <si>
    <t xml:space="preserve">Keep FLUX.1-dev; add Z-Image-Turbo (6B, Apache 2.0) as a permissive fast tier; evaluate Qwen-Image-2512 (Apache 2.0).</t>
  </si>
  <si>
    <t xml:space="preserve">FLUX.2-dev 32B (non-commercial, 24B text encoder); HiDream-I1 (transformer MIT, Llama 3.1 text encoder); FLUX.2-klein-4B (Apache 2.0); Qwen-Image-2.1 (non-commercial, watch-list)</t>
  </si>
  <si>
    <t xml:space="preserve">Z-Image-Turbo was the top open text-to-image model on AA (2025-12-08); its repository is 32.90 GB with an F32 transformer (about 12.31 GB in BF16). Qwen-Image-2512 (57.70 GB) measured 74-79 s per image with the 4-step LoRA on Strix Halo; no FLUX or Z-Image timing on gfx1151 exists.</t>
  </si>
  <si>
    <t xml:space="preserve">D-26 (phasing); D-50; T-25</t>
  </si>
  <si>
    <t xml:space="preserve">Roster report L79, L104; Roster gap_closure L96-L97, L408.</t>
  </si>
  <si>
    <t xml:space="preserve">C-12</t>
  </si>
  <si>
    <t xml:space="preserve">Medical imaging</t>
  </si>
  <si>
    <t xml:space="preserve">Rad-DINO (Phase 4, research use per its card)</t>
  </si>
  <si>
    <t xml:space="preserve">Keep Rad-DINO; add MedGemma 1.5 4B (Q8_0 4.13 GB + 0.85 GB mmproj) only if the Principal classes it as an imaging companion rather than an LLM seat and accepts its HAI-DEF terms.</t>
  </si>
  <si>
    <t xml:space="preserve">Rad-DINO alone</t>
  </si>
  <si>
    <t xml:space="preserve">The roster research proposed it beside Rad-DINO for chest X-ray, dermatology, ophthalmology and histopathology; as a 4B multimodal LLM it falls under the no-small-models rule unless treated as a companion.</t>
  </si>
  <si>
    <t xml:space="preserve">Roster report L96; Roster gap_closure L72.</t>
  </si>
  <si>
    <t xml:space="preserve">Structure changes</t>
  </si>
  <si>
    <t xml:space="preserve">The amendments to the baseline document, scripts and workbook that would follow once the decisions they depend on are approved. Approve here to authorise the edit.</t>
  </si>
  <si>
    <t xml:space="preserve">Amendment</t>
  </si>
  <si>
    <t xml:space="preserve">Targets (files and sections)</t>
  </si>
  <si>
    <t xml:space="preserve">Effort</t>
  </si>
  <si>
    <t xml:space="preserve">S-01</t>
  </si>
  <si>
    <t xml:space="preserve">llama.cpp re-pin</t>
  </si>
  <si>
    <t xml:space="preserve">Move the pin from v0.4.1 (b29c606) to the approved build (v0.6.0 or b11474; GLM needs b11279 or later), add llama-perplexity to the built binaries, update every min_llama_cpp_tag and the research line, and re-verify every source fact marked VERIFIED: reserved flags, context shift off on six of eight engines, TRACE KV lines at --verbosity 4, HTTP 400 on an over-long prompt, the --fit log the load test parses.</t>
  </si>
  <si>
    <t xml:space="preserve">scripts/day1/phase2/01-llama.sh L27-L30; phase2/engine-env.py RESERVED_FLAGS; config/engines.json _meta research L16 and min_llama_cpp_tag; phase3/loadtest.py FIT_END_RE, parse_memory_lines; FRAMEWORK_REVIEW 3.4 L143, 4.3 L273, 5.2, 17 Phase 2 step 1 L928, 23, App B L1244, App D; scripts/day1/README.md UNVERIFIED list</t>
  </si>
  <si>
    <t xml:space="preserve">Large</t>
  </si>
  <si>
    <t xml:space="preserve">Structure review (re-pin); Arsenal structure (pin); Arsenal report Inputs L97; Arsenal CR G1.</t>
  </si>
  <si>
    <t xml:space="preserve">S-02</t>
  </si>
  <si>
    <t xml:space="preserve">Pin parity test</t>
  </si>
  <si>
    <t xml:space="preserve">Add a required output-parity step: build the old pin beside the new one and compare outputs on engines both load (gpt-oss-120b, Nemotron, DeepSeek-V4-Flash, Qwen3.8-Flash-Next, the router and any other at-pin seat) with llama-perplexity --kl-divergence and a deterministic task set, -fa on and off, recorded as a new V25.</t>
  </si>
  <si>
    <t xml:space="preserve">scripts/day1/phase2/01-llama.sh (second build directory); phase3-models.sh (new step); phase3/loadtest.py (new subcommand); FRAMEWORK_REVIEW 17 Phase 3, 21 (new V25); scripts/day1/COVERAGE.md; tools/fill-workbook.py</t>
  </si>
  <si>
    <t xml:space="preserve">D-01; T-02</t>
  </si>
  <si>
    <t xml:space="preserve">Medium</t>
  </si>
  <si>
    <t xml:space="preserve">Structure review (parity test); Arsenal report closing gaps.</t>
  </si>
  <si>
    <t xml:space="preserve">S-03</t>
  </si>
  <si>
    <t xml:space="preserve">Quality (KLD) measurement step</t>
  </si>
  <si>
    <t xml:space="preserve">Add a Phase 3 record step that scores each candidate file against a reference with llama-perplexity --kl-divergence on Wikitext-2 plus a domain corpus and counts changed answers on a small deterministic set, raising a to-do like S52's kv-estimates. GLM's Q8_0 reference is 317 GiB, so its check is a task delta against published full-precision scores.</t>
  </si>
  <si>
    <t xml:space="preserve">scripts/day1/phase3/loadtest.py (new record); phase3-models.sh (new step and to-do); FRAMEWORK_REVIEW 17 Phase 3, 21</t>
  </si>
  <si>
    <t xml:space="preserve">D-02; T-03</t>
  </si>
  <si>
    <t xml:space="preserve">Structure review (KLD step); Arsenal structure (KLD tooling); Arsenal report L72, L107; Roster report verification protocol.</t>
  </si>
  <si>
    <t xml:space="preserve">S-04</t>
  </si>
  <si>
    <t xml:space="preserve">Diarisation</t>
  </si>
  <si>
    <t xml:space="preserve">Make Nemotron 3 Diarization the primary diariser (official Q8_0, 0.10 GiB, NeMo-Speech.cpp on the node's ggml and Vulkan stack) and pyannote community-1 the fallback for more than eight speakers; add a pinned NeMo-Speech.cpp build step, rewrite V6 (passes only on pyannote 3.1) and the gated-model checklist item.</t>
  </si>
  <si>
    <t xml:space="preserve">scripts/day1/phase2/05-voice.sh L18-L35, L156-L162, L834 and a new build step; verify/v06-pyannote.sh; FRAMEWORK_REVIEW 4.1 L228, 14.1 L739, 21 V6 L1070, 22 L1112; workbook Ref Voice</t>
  </si>
  <si>
    <t xml:space="preserve">D-05; C-06; T-21</t>
  </si>
  <si>
    <t xml:space="preserve">Structure review (diarisation); Arsenal structure (diarisation); Roster structure (diarisation).</t>
  </si>
  <si>
    <t xml:space="preserve">S-05</t>
  </si>
  <si>
    <t xml:space="preserve">Uncensored marker and R13</t>
  </si>
  <si>
    <t xml:space="preserve">Replace the name-suffix test endswith('-abliterated') with an engines.json field (uncensored: true) read by the router's tier floor and the cross-check exclusion, so MiMo uncensored and Derestricted keep R13 (never below standard tier); remove the gpt-oss-120b-abliterated entry (noctrex repo), add the approved uncensored entries and re-point the ren-abliterated and arthur-abliterated routes.</t>
  </si>
  <si>
    <t xml:space="preserve">orchestrator/src/atlas/router.py L913-L944; approval.py L343-L412; personas.py L161; config/engines.json L51-L79; config/router-rules.json L31, L33; config/personas/valerie.md L8, ren.md, arthur.md; FRAMEWORK_REVIEW 5.1 L308, 6.1, 6.2, S1 L1146, R13 L1052</t>
  </si>
  <si>
    <t xml:space="preserve">D-07; D-08; D-09</t>
  </si>
  <si>
    <t xml:space="preserve">Structure review (uncensored marker); Arsenal structure (uncensored engines); Roster structure (abliterated engines).</t>
  </si>
  <si>
    <t xml:space="preserve">S-06</t>
  </si>
  <si>
    <t xml:space="preserve">Hemisphere, Sentinel and locale text</t>
  </si>
  <si>
    <t xml:space="preserve">Rewrite the remaining engine mentions: 9.3's escalation (resident engine first; gpt-oss-120b only when resident, never forcing a swap), Section 1's locale line (multilingual carried by Qwen3.5 and Kokoro) and 10.2's 'escalating to a large engine' for graph indexing.</t>
  </si>
  <si>
    <t xml:space="preserve">FRAMEWORK_REVIEW 9.3 L590, 1 L62, 10.2 L640</t>
  </si>
  <si>
    <t xml:space="preserve">D-10; D-12</t>
  </si>
  <si>
    <t xml:space="preserve">Small</t>
  </si>
  <si>
    <t xml:space="preserve">Structure review (hemisphere text).</t>
  </si>
  <si>
    <t xml:space="preserve">S-07</t>
  </si>
  <si>
    <t xml:space="preserve">Nemotron long-prompt check</t>
  </si>
  <si>
    <t xml:space="preserve">If Nemotron stays as the long-context utility, add a prompt of 20K tokens or more with a health check to Phase 3 (today's test uses 8K) and update its known_issue.</t>
  </si>
  <si>
    <t xml:space="preserve">scripts/day1/phase3/loadtest.py; config/engines.json nemotron-3-super known_issue</t>
  </si>
  <si>
    <t xml:space="preserve">D-13; T-12</t>
  </si>
  <si>
    <t xml:space="preserve">Arsenal structure (Nemotron long prompt); Arsenal CR G11 (L220-224).</t>
  </si>
  <si>
    <t xml:space="preserve">S-08</t>
  </si>
  <si>
    <t xml:space="preserve">OCR companion</t>
  </si>
  <si>
    <t xml:space="preserve">Add a resident OCR llama-server unit for the approved model (C-04) and route scanned pages from Docling ingestion to it; decide whether Florence-2 keeps detection and captioning only.</t>
  </si>
  <si>
    <t xml:space="preserve">config/engines.json (new resident entry and port); phase2/04-memory.sh (resident keys L128, docling path); orchestrator/src/atlas/memory.py (ingestion); config/phase4-engines.json florence-2 L123-L149; FRAMEWORK_REVIEW 4.1 resident rows, 5.3, 10.1 L636, 15.1, 15.2 L799, 17 Phase 2 step 4 L931; workbook Ref Multimodal</t>
  </si>
  <si>
    <t xml:space="preserve">D-14; C-04; T-19</t>
  </si>
  <si>
    <t xml:space="preserve">Structure review (OCR); Arsenal structure (OCR companion); Roster structure (OCR service).</t>
  </si>
  <si>
    <t xml:space="preserve">S-09</t>
  </si>
  <si>
    <t xml:space="preserve">New seats</t>
  </si>
  <si>
    <t xml:space="preserve">Add engines.json entries, Arbiter classes and persona or task-force bindings for the approved seats: Intern-S1 Q5_K_S 150.84 GiB (or Q4_K_M 132.86 GiB), Ling-3.0-flash-Fin Q8_0 126.32 GiB, Baichuan-M3 Q5_K_S 150.76 GiB or official Q4_K_M 133.91 GiB (KV about 188 KiB/token, context per the Principal's target), Qwen3-Coder-Next Q8_0 78.99 GiB or BF16 148.51 GiB, MiMo uncensored MXFP4 156.85 GiB and gpt-oss Derestricted Q8_0 115.76 GiB; point Minerva's cross-check plan and the strong cross-check route at Baichuan-M3.</t>
  </si>
  <si>
    <t xml:space="preserve">config/engines.json (new entries); config/personas/silas.md, valerie.md, minerva.md; config/task-forces.json; config/router-rules.json (strong cross-check route); orchestrator/src/atlas/approval.py DEFAULT_CROSS_CHECK_PLAN L350; FRAMEWORK_REVIEW 4.3, 5.1, 6.2 L384, 9.2 L581, 15.2 L811, 15.4, 16.5</t>
  </si>
  <si>
    <t xml:space="preserve">D-07; D-08; D-15; D-16; D-17; D-18; D-19</t>
  </si>
  <si>
    <t xml:space="preserve">Structure review (new seats); Roster structure (medical cross-check).</t>
  </si>
  <si>
    <t xml:space="preserve">S-10</t>
  </si>
  <si>
    <t xml:space="preserve">Vision engine, C25 and D10</t>
  </si>
  <si>
    <t xml:space="preserve">Remove Qwen2.5-VL-72B from every engine map and rewrite C25 ('One engine: Qwen2.5-VL-72B at Q8_0') and D10 for the chosen engine: GLM-5.3-Flash with the glm5v mmproj (0.65 GB) on the default engine's own unit, or Qwen3-VL-235B Q5_K_S plus mmproj as a separate ~150 GiB swap. State that the OCR companion transcribes and does not reason, so C25 stays 'one vision engine'.</t>
  </si>
  <si>
    <t xml:space="preserve">FRAMEWORK_REVIEW C25 L998, D10 L1017, 0 item 7 L41, 5.1 L321, 6.2 L380, L384, 14.4 L768, 15.2 L798, App B L1240; config/engines.json L178-L209; config/personas/valerie.md L10, minerva.md L11; phase3-models.sh L18-L24, L131; workbook Ref Engines, Ref Multimodal</t>
  </si>
  <si>
    <t xml:space="preserve">D-01; D-20</t>
  </si>
  <si>
    <t xml:space="preserve">Structure review (vision engine); Roster structure (vision engine).</t>
  </si>
  <si>
    <t xml:space="preserve">S-11</t>
  </si>
  <si>
    <t xml:space="preserve">Retired engines</t>
  </si>
  <si>
    <t xml:space="preserve">Remove Qwen2.5-VL-72B (79 GB), Meditron-70B (74 GB, 4K context), the current abliterated file and Qwen3.5-122B-A10B from engines.json, the Arbiter's KV table, the Meditron join path (join_into and Phase 3's +74 GB transient copy) and the 15.2 rows; mark D12 reopened. If D-21 keeps Qwen3.5-122B instead, pull its MTP build and mmproj and render --mmproj and --spec-type draft-mtp.</t>
  </si>
  <si>
    <t xml:space="preserve">config/engines.json L51-L79, L109-L139, L178-L238; arbiter.py L151-L153; approval.py L350; phase3-models.sh L635 and step 01; FRAMEWORK_REVIEW 5.1 L319-L321, 15.2 L798, L811, D12 L1019</t>
  </si>
  <si>
    <t xml:space="preserve">D-09; D-15; D-21</t>
  </si>
  <si>
    <t xml:space="preserve">Structure review (retired engines); Roster structure (medical cross-check, Qwen3.5-122B).</t>
  </si>
  <si>
    <t xml:space="preserve">S-12</t>
  </si>
  <si>
    <t xml:space="preserve">Swap cost and work grouping (5.4, 6.3)</t>
  </si>
  <si>
    <t xml:space="preserve">Restate 5.4 and 4.2 rule 4 (15-45 s per swap) as about 50-85 s per large swap through LUKS plus re-prefill (V4-Flash about 4.4 min at 32K, up to 13 min at 64K), make GLM-5.3-Flash the default resident engine in 6.3, and change the Arbiter's FIFO queue to engine-affinity ordering with a starvation bound, preferring to evict fast engines that recover page cache.</t>
  </si>
  <si>
    <t xml:space="preserve">FRAMEWORK_REVIEW 4.2 rule 4, 5.4 L342-L352, 6.3 L391-L393, 9.1, 17 durations; orchestrator/src/atlas/arbiter.py acquire_generation L1100-L1106 and eviction choice; Celery gpu queue routing in atlas/tasks; tests/test_arbiter.py</t>
  </si>
  <si>
    <t xml:space="preserve">D-23; T-14</t>
  </si>
  <si>
    <t xml:space="preserve">Structure review (swap and grouping); Arsenal structure (work grouping; swap figures); Arsenal CR C19.</t>
  </si>
  <si>
    <t xml:space="preserve">S-13</t>
  </si>
  <si>
    <t xml:space="preserve">Standing rules from the 2026-10-15 directives</t>
  </si>
  <si>
    <t xml:space="preserve">Record the Principal's directives as standing rules: no LLM seat under about 70B total parameters (router, embedder, reranker, OCR, speech, diarisation, voice and image companions exempt); every LLM engine runs alone with the whole ~164 GiB; result quality first, speed second; the least-quantised rung that fits, with its measured quality cost stated; abliterated engines kept under R13. Rewrite the admission criteria for a new engine to match (today: a GGUF that loads on v0.4.1 Vulkan, a footprint inside the 164 GiB budget with the default slot sized for a co-resident partner, and a defined persona or tier role).</t>
  </si>
  <si>
    <t xml:space="preserve">FRAMEWORK_REVIEW 1 (principles) L48-L66, 5.1 opening paragraph, 15.5 intro L844, 16.1 L858-L868; workbook 1 Principles / Ref Engines</t>
  </si>
  <si>
    <t xml:space="preserve">D-25; D-24; D-32</t>
  </si>
  <si>
    <t xml:space="preserve">Arsenal report directives L7, quantisation rule L72. Roster baseline notes L309 (admission criteria).</t>
  </si>
  <si>
    <t xml:space="preserve">S-14</t>
  </si>
  <si>
    <t xml:space="preserve">Add the approved speech-to-text service beside Whisper only if the WER test favours it (Qwen3-ASR-1.7B, 2.17 GB GGUF, /v1/audio/transcriptions on llama-server), keeping Whisper as fallback; Open WebUI's STT endpoint and the 4.1 voice row follow the result.</t>
  </si>
  <si>
    <t xml:space="preserve">scripts/day1/phase2/05-voice.sh step 1 (L6-L9); docker/core/compose.voice.yml; config/engines.json (new unit if adopted); FRAMEWORK_REVIEW 4.1 L228, 14.1 L738, App B Open WebUI line; workbook Ref Voice</t>
  </si>
  <si>
    <t xml:space="preserve">D-26; C-05; T-20</t>
  </si>
  <si>
    <t xml:space="preserve">Structure review (speech-to-text); Arsenal structure (speech-to-text); Roster structure (speech engines).</t>
  </si>
  <si>
    <t xml:space="preserve">S-15</t>
  </si>
  <si>
    <t xml:space="preserve">Text-to-speech</t>
  </si>
  <si>
    <t xml:space="preserve">Keep Kokoro; move the Chatterbox pin from 0.1.7 to Turbo (350M) and Multilingual V3 (MIT) after the gfx1151 check; move Qwen3-TTS from the 14.1 watch-list to a test through the llama-tts CLI (no server endpoint until PR #26603 merges).</t>
  </si>
  <si>
    <t xml:space="preserve">scripts/day1/phase2/05-voice.sh CHATTERBOX_PIN L141, SPEACHES_TURBO_PREFERRED L140, step 2 (L15-L17); config/engines.json chatterbox external entry L321-L334; FRAMEWORK_REVIEW 4.1 L228, 14.1 L734-L741, V7 L1071; workbook Ref Voice</t>
  </si>
  <si>
    <t xml:space="preserve">D-26; C-09; C-10</t>
  </si>
  <si>
    <t xml:space="preserve">Structure review (text-to-speech); Roster structure (speech engines).</t>
  </si>
  <si>
    <t xml:space="preserve">S-16</t>
  </si>
  <si>
    <t xml:space="preserve">Keep FLUX.1-dev, add Z-Image-Turbo (6B, Apache 2.0, about 12 GB in BF16) as a permissive fast tier and list Qwen-Image-2512 (Apache 2.0, about 40 GB, 74-79 s per image on Strix Halo) for evaluation, with stable-diffusion.cpp on Vulkan as the fallback runtime.</t>
  </si>
  <si>
    <t xml:space="preserve">config/phase4-engines.json (new entries after flux1-dev, L36-L78); scripts/day1/phase4/engines/*.sh; FRAMEWORK_REVIEW 15.2 L797, 15.4, 15.5 L850-L852, 17 Phase 4 step 2 L953; workbook Ref Multimodal</t>
  </si>
  <si>
    <t xml:space="preserve">D-26; C-11; T-25</t>
  </si>
  <si>
    <t xml:space="preserve">Structure review (image generation); Roster structure (image tier).</t>
  </si>
  <si>
    <t xml:space="preserve">S-17</t>
  </si>
  <si>
    <t xml:space="preserve">Arbiter KV and compute projections</t>
  </si>
  <si>
    <t xml:space="preserve">Replace the KV table: deepseek-v4-flash 327,680 -&gt; about 6,880 B/token f16; add GLM 19,712, Flash-Next 27,648 (about 30,720 after a re-pin), Baichuan-M3 / Intern-S1 / Qwen3-VL 192,512, Coder-Next 24,576, and MiMo and Ling-Fin from their configs; admit f16 in KV_CLASSES; add a compute-buffer term from the S52 records (MiMo's and Flash-Next's 6.5-7 GiB margins are of that order); update APEX_KEY if the Apex changes.</t>
  </si>
  <si>
    <t xml:space="preserve">orchestrator/src/atlas/arbiter.py L127-L162; config.py KV_CLASSES L89; config/engines.json kv_rule L9; tests/test_arbiter.py; FRAMEWORK_REVIEW 4.1, 4.2 rule 7</t>
  </si>
  <si>
    <t xml:space="preserve">D-10; D-11; D-29; T-05</t>
  </si>
  <si>
    <t xml:space="preserve">Structure review (KV projections); Arsenal structure (Arbiter KV model); Arsenal CR C1, C4, C5, G2.</t>
  </si>
  <si>
    <t xml:space="preserve">S-18</t>
  </si>
  <si>
    <t xml:space="preserve">KV cache table (4.3)</t>
  </si>
  <si>
    <t xml:space="preserve">Replace the per-hemisphere KV rows (Arthur q8_0, Ren q4_0, Apex q4_0 target, vision q8_0) with per-seat types under the approved policy (gpt-oss engines q4_0 -&gt; q8_0 or f16), set kv_class in each engines.json entry and rewrite the Appendix B launch lines.</t>
  </si>
  <si>
    <t xml:space="preserve">FRAMEWORK_REVIEW 4.3 L264-L271, App B L1238-L1246; config/engines.json kv_class (L25, L57 and new entries); workbook Ref Engines</t>
  </si>
  <si>
    <t xml:space="preserve">Structure review (KV table); Arsenal structure (KV types); Roster structure (KV gpt-oss).</t>
  </si>
  <si>
    <t xml:space="preserve">S-19</t>
  </si>
  <si>
    <t xml:space="preserve">Engine roster (5.1 and engines.json)</t>
  </si>
  <si>
    <t xml:space="preserve">Replace the seven GGUF entries with the approved arsenal, each with key, hf_repo, subdir, arch (glm5-next, deepseek4, gpt-oss, mimo2, qwen4exp, qwen3moe, nemotron_h_moe), licence, files, quant, exact bytes, kv_class, ctx_size, parallel, vendor sampling, expected_decode_tok_s, min_llama_cpp_tag and kv_proof_lines; rewrite the 5.1 table and its paragraphs on gpt-oss MXFP4, DeepSeek Q4-not-Q8, Meditron and vision.</t>
  </si>
  <si>
    <t xml:space="preserve">config/engines.json L18-L238; orchestrator/tests/fixtures/config/engines.json; FRAMEWORK_REVIEW 5.1 L301-L321</t>
  </si>
  <si>
    <t xml:space="preserve">D-02; D-10; D-11; D-21; D-31</t>
  </si>
  <si>
    <t xml:space="preserve">Structure review (engine roster); Arsenal structure (engine registry).</t>
  </si>
  <si>
    <t xml:space="preserve">S-20</t>
  </si>
  <si>
    <t xml:space="preserve">Budget each engine from its exact byte count (engines.json files[].bytes, filled from the Hugging Face tree the pull already reads into MANIFEST.json) converted to GiB, instead of reading footprint_gb as GiB, and restate the 5.1 paragraph that reads the 161.9 GB file as 161.9 GiB.</t>
  </si>
  <si>
    <t xml:space="preserve">orchestrator/src/atlas/config.py footprint_bytes L322-L331; config/engines.json _meta files_rule L6, files[].bytes, footprint_gb fields; arbiter.py _footprint L576-L594; FRAMEWORK_REVIEW 4.1, 5.1 L317, App B; tests/test_config.py, test_arbiter.py</t>
  </si>
  <si>
    <t xml:space="preserve">Structure review (footprint units); Roster structure (Arbiter footprints).</t>
  </si>
  <si>
    <t xml:space="preserve">S-21</t>
  </si>
  <si>
    <t xml:space="preserve">Memory budget table (4.1)</t>
  </si>
  <si>
    <t xml:space="preserve">Replace 'What fits together' (gpt-oss + Qwen2.5-VL 142 GB, gpt-oss + abliterated 126 GB, Nemotron + gpt-oss rejected, Apex 155 GB) with one row per approved seat run alone against about 164 GiB: GLM 146.05 (about 18 left), V4-Flash Q8 150.75 (13), Intern-S1 150.84, Baichuan-M3 150.76, Coder-Next 78.99 or 148.51, MiMo 156.85 (7), Flash-Next Q6 157.55 (6.5), Nemotron 119.65 (44), gpt-oss 59.03; recompute the Apex-fit paragraph.</t>
  </si>
  <si>
    <t xml:space="preserve">FRAMEWORK_REVIEW 4.1 L219-L242; orchestrator/src/atlas/config.py comment L37-L48; workbook Ref Engines</t>
  </si>
  <si>
    <t xml:space="preserve">D-10; D-14; D-31; D-32</t>
  </si>
  <si>
    <t xml:space="preserve">Structure review (memory budget); Arsenal structure (memory budget); Arsenal CR G9.</t>
  </si>
  <si>
    <t xml:space="preserve">S-22</t>
  </si>
  <si>
    <t xml:space="preserve">Co-resident vision profile (S52) removal</t>
  </si>
  <si>
    <t xml:space="preserve">Remove the standing two-slot co-resident profile (parallel_coresident 2, ctx_size_coresident 65536) and what was built around it: EngineSpec.standing_coresident and profile(), engine-env.py's ATLAS_CORESIDENT rendering, the overrides.json coresident field, the Arbiter's coresident hint, the V21 pair test and its constants, and the 4.1, 4.3 and Appendix B text; keep a two-resident limit only for small non-LLM loads if D-32 allows.</t>
  </si>
  <si>
    <t xml:space="preserve">config/engines.json L11, L201-L202; orchestrator/src/atlas/config.py L246-L319; phase2/engine-env.py L17-L25, L165-L185, L225; arbiter.py L86-L93, L898-L905; phase3/loadtest.py L245-L255, L2551-L2732; phase3-models.sh step 03; FRAMEWORK_REVIEW 4.1 L237, 4.2 rule 3, 4.3 L275, App B L1240, 23 L1200</t>
  </si>
  <si>
    <t xml:space="preserve">D-20; D-32</t>
  </si>
  <si>
    <t xml:space="preserve">Structure review (co-resident removal); Arsenal structure (two-resident pairing); Roster structure (two-engine pairing).</t>
  </si>
  <si>
    <t xml:space="preserve">S-23</t>
  </si>
  <si>
    <t xml:space="preserve">Residency rule (4.2) and C26</t>
  </si>
  <si>
    <t xml:space="preserve">Change rule 3 ('Two engines may be resident') to one LLM seat resident and one generation, and rule 7's Apex exclusivity to every LLM seat; supersede C26. In code, make the residency limit a setting at 1, treat every LLM seat as exclusive instead of APEX_KEY alone, and drop the LRU pairing search for LLM seats.</t>
  </si>
  <si>
    <t xml:space="preserve">FRAMEWORK_REVIEW 4.2 L244-L258, C26 L999, 0 item 4 L38; orchestrator/src/atlas/arbiter.py L11, L123, L127, L916-L940; config.py is_apex L292-L293; tests/test_arbiter.py</t>
  </si>
  <si>
    <t xml:space="preserve">Structure review (residency rule).</t>
  </si>
  <si>
    <t xml:space="preserve">S-24</t>
  </si>
  <si>
    <t xml:space="preserve">V10, V14, V21 and the Phase 3 steps</t>
  </si>
  <si>
    <t xml:space="preserve">Restate V10 ('All seven GGUF engines ... within the expected bands') for the approved engines and band policy, retire V21's two-engine test (about 142 GB) or replace it with a single-residency proof (a second LLM load evicts the first, a queued request waits, a slot restore round-trips), re-base V14's Deep Think downgrade, and add rows for the KLD run, output parity, slot restore and the heap size; rewrite 17 Phase 3 steps 2-4 and the Phase 2 gate sentence naming V21.</t>
  </si>
  <si>
    <t xml:space="preserve">FRAMEWORK_REVIEW V10 L1074, V14 L1078, V21 L1085, 17 Phase 2 step 10 L941, Phase 3 L946-L948; phase3/loadtest.py cmd_coresident L2682, residency_bounds L2576; phase3-models.sh step_03; scripts/day1/COVERAGE.md L49-L51, L110-L111; tools/fill-workbook.py</t>
  </si>
  <si>
    <t xml:space="preserve">D-32; D-33</t>
  </si>
  <si>
    <t xml:space="preserve">Structure review (V10, V14, V21); Arsenal structure (verification matrix).</t>
  </si>
  <si>
    <t xml:space="preserve">S-25</t>
  </si>
  <si>
    <t xml:space="preserve">Phase 3 decode gate and Section 2 performance</t>
  </si>
  <si>
    <t xml:space="preserve">Re-base or remove the decode bands that fail V10, so a quality-first file is recorded rather than failed for speed; drop the 72B dense row from Section 2, mark DeepSeek's 25-32 tok/s as unsupported (about 11 at UD-Q4_K_XL, about 7 at UD-Q8_K_XL) and add 300B-class rows (GLM 17.4 measured at 3.84 bpw, 12-14 projected at IQ4_XS; MiMo about 18 measured on ROCm).</t>
  </si>
  <si>
    <t xml:space="preserve">config/engines.json expected_decode_tok_s (L46, L75, L101, L134, L171, L205, L234); phase3-models.sh header; phase3/loadtest.py band verdict; FRAMEWORK_REVIEW 2 L78, L85-L99, 5.1 decode column, 17 Phase 3 step 4 L948, 21 V10 L1074; workbook Ref Hardware</t>
  </si>
  <si>
    <t xml:space="preserve">Structure review (expected performance); Roster structure (decode gate).</t>
  </si>
  <si>
    <t xml:space="preserve">S-26</t>
  </si>
  <si>
    <t xml:space="preserve">New-architecture gate rows</t>
  </si>
  <si>
    <t xml:space="preserve">Generalise V22 and R19 from DeepSeek to every engine whose support is newer than the rest (GLM glm5-next, MiMo, Flash-Next qwen4exp), each deferrable without blocking, and change the gate line 'gate phase3 V4 V10 V14b V21 -- V22'.</t>
  </si>
  <si>
    <t xml:space="preserve">scripts/day1/phase3-models.sh L752-L755; phase3/loadtest.py summarize and record; FRAMEWORK_REVIEW V22 L1086, R19 L1039, 17 Phase 3 step 4 L948</t>
  </si>
  <si>
    <t xml:space="preserve">Structure review (gate rows).</t>
  </si>
  <si>
    <t xml:space="preserve">S-27</t>
  </si>
  <si>
    <t xml:space="preserve">Licence and verified-fact records</t>
  </si>
  <si>
    <t xml:space="preserve">Mark Nemotron's licence read and DeepSeek's MIT, record the Qwen Community 1.0, OpenMDW-1.1 and each new entry's licence, record the MRL rejection, and fold the verified facts into the record: exact sizes in GB and GiB, the pin date and the baseline inconsistencies once answered.</t>
  </si>
  <si>
    <t xml:space="preserve">config/engines.json licence and footprint fields (L61, L90, L153, L303); FRAMEWORK_REVIEW 2 L96, 5.1 L307-L321, 14.1, 15.2, 16.5; workbook 5 Checklist, Ref Engines, Ref Multimodal (C20, C35)</t>
  </si>
  <si>
    <t xml:space="preserve">D-03; D-04; D-05; D-06; D-34</t>
  </si>
  <si>
    <t xml:space="preserve">Arsenal structure (licences); Roster structure (verified facts).</t>
  </si>
  <si>
    <t xml:space="preserve">S-28</t>
  </si>
  <si>
    <t xml:space="preserve">Kernel GTT check</t>
  </si>
  <si>
    <t xml:space="preserve">Raise the V3b Vulkan device-memory floor from 160000 MiB to the largest approved engine plus its KV, and change the kernel line only if V3 shows the 192 GiB request is not honoured.</t>
  </si>
  <si>
    <t xml:space="preserve">scripts/day1/phase1/04-system.sh ATLAS_GRUB_PARAMS L61; verify/v03a-gtt.sh, v03b-llama-devices.sh MIN_MIB L18; FRAMEWORK_REVIEW 3.3 L123-L135, 21 V3 L1067</t>
  </si>
  <si>
    <t xml:space="preserve">D-36; T-01</t>
  </si>
  <si>
    <t xml:space="preserve">Roster structure (kernel GTT check); Lucebox report L186, L331.</t>
  </si>
  <si>
    <t xml:space="preserve">S-29</t>
  </si>
  <si>
    <t xml:space="preserve">Domains and task forces (8.2 to 8.5)</t>
  </si>
  <si>
    <t xml:space="preserve">Keep the 8.2 owners and tiers; state in 8.4 how a seat is reached (director override or task-force preset, never a domain card) and give the relevant presets an engine field (for example TF_UPSILON for the medical cross-check, TF_MU for the coder seat), keeping TF_OMEGA on deepseek-v4-flash unless the KLD run moves the Apex.</t>
  </si>
  <si>
    <t xml:space="preserve">FRAMEWORK_REVIEW 8.2 L434-L495 (note), 8.3, 8.4 L527-L535, 8.5 L539-L553; config/task-forces.json (engine fields, TF_OMEGA L358); workbook Ref Domains, Ref Task Forces</t>
  </si>
  <si>
    <t xml:space="preserve">D-11; D-37</t>
  </si>
  <si>
    <t xml:space="preserve">Structure review (domains and task forces); Arsenal structure (TF_OMEGA engine).</t>
  </si>
  <si>
    <t xml:space="preserve">S-30</t>
  </si>
  <si>
    <t xml:space="preserve">Router rules (7.1)</t>
  </si>
  <si>
    <t xml:space="preserve">Re-point the routes (ren to GLM-5.3-Flash, arthur to DeepSeek-V4-Flash, both uncensored routes to the approved build, arthur-qwen to the long-document engine), revisit long_document_tokens 24000, rename router.py's LONG_DOCUMENT_ENGINE and PERSONA_ACTIONS entry, add any approved prefixes, and rewrite the 7.1 route table.</t>
  </si>
  <si>
    <t xml:space="preserve">config/router-rules.json L14-L37; orchestrator/src/atlas/router.py L127-L129; FRAMEWORK_REVIEW 7.1 L403-L412; tests/test_router.py and fixtures</t>
  </si>
  <si>
    <t xml:space="preserve">D-08; D-10; D-37; D-38; D-48</t>
  </si>
  <si>
    <t xml:space="preserve">Structure review (router rules); Roster structure (persona and route maps).</t>
  </si>
  <si>
    <t xml:space="preserve">S-31</t>
  </si>
  <si>
    <t xml:space="preserve">Cross-check (9.2)</t>
  </si>
  <si>
    <t xml:space="preserve">Allow the engines the approved rule names as strong cross-check engines (dropping deepseek-v4-flash from _NEVER_CROSS_CHECK_ENGINES if approved), point Minerva's plan at Baichuan-M3, and state in 9.2 that a strong cross-check is now a 50-85 s swap plus re-prefill and is batched.</t>
  </si>
  <si>
    <t xml:space="preserve">orchestrator/src/atlas/approval.py L292-L294, L343-L412; FRAMEWORK_REVIEW 9.2 L579-L581; tests/test_approval.py</t>
  </si>
  <si>
    <t xml:space="preserve">D-15; D-39</t>
  </si>
  <si>
    <t xml:space="preserve">Structure review (cross-check).</t>
  </si>
  <si>
    <t xml:space="preserve">S-32</t>
  </si>
  <si>
    <t xml:space="preserve">Hemispheres and persona map (6.1, 6.2)</t>
  </si>
  <si>
    <t xml:space="preserve">Rewrite 6.1's default, override and Apex rows (Ren GLM-5.3-Flash, Arthur DeepSeek-V4-Flash-0731) and every 6.2 director row to the approved map, and set default_engine, override_engines and a fallback_engine in each persona file (Minerva with Baichuan-M3 and Intern-S1, Silas with Ling, Valerie with Coder-Next and Intern-S1, Ren and Arthur with Derestricted).</t>
  </si>
  <si>
    <t xml:space="preserve">FRAMEWORK_REVIEW 6.1 L358-L372, 6.2 L374-L389, 6.3 L393; config/personas/*.md L7-L11 and fixture copies; workbook Ref Engines</t>
  </si>
  <si>
    <t xml:space="preserve">D-08; D-10; D-17; D-18; D-19; D-40</t>
  </si>
  <si>
    <t xml:space="preserve">Structure review (persona map); Arsenal structure (persona bindings); Roster structure (persona and route maps).</t>
  </si>
  <si>
    <t xml:space="preserve">S-33</t>
  </si>
  <si>
    <t xml:space="preserve">Engine keys, ports and fixtures</t>
  </si>
  <si>
    <t xml:space="preserve">Extend the canonical key list and CONVENTIONS.md section 8 with the new keys and remove the retired ones, and widen the fixed count of ten engines (01-llama.sh L203 refuses any other) and the 8101-8110 port range, since the arsenal plus resident companions comes to about 15-18 units; update the fixtures that copy engines.json and router-rules.json.</t>
  </si>
  <si>
    <t xml:space="preserve">orchestrator/src/atlas/config.py ENGINE_KEYS L63-L74, ARBITER_CLASSES L78, L84, L371; scripts/day1/phase2/01-llama.sh L203; CONVENTIONS.md section 8 (from L195), L216; config/engines.json _meta port_rule L4; orchestrator/tests/fixtures/config/</t>
  </si>
  <si>
    <t xml:space="preserve">D-10; D-41</t>
  </si>
  <si>
    <t xml:space="preserve">Structure review (engine keys); Arsenal structure (engine count and port range).</t>
  </si>
  <si>
    <t xml:space="preserve">S-34</t>
  </si>
  <si>
    <t xml:space="preserve">Phase 3 download list and disk</t>
  </si>
  <si>
    <t xml:space="preserve">Replace the seven-engine, about 690 GB list with the approved set (about 1.9 TB, or the core seats first per D-42), drop Meditron's +74 GB transient join from the free-space check, update the '~690 GB' notice and P3_CLASSES, and restate 15.4, the durations table (about 42 h at 100 Mbps instead of about 15 h), R20 and 9.5's '400+ GB per snapshot'.</t>
  </si>
  <si>
    <t xml:space="preserve">scripts/day1/phase3-models.sh header, L18-L24, L613, L634-L640; phase3/loadtest.py P3_CLASSES L260; FRAMEWORK_REVIEW 9.5 L614, 15.4 L826-L840, 17 Phase 3 step 1 L945, durations L965, R20 L1040, App C; workbook Ref Hardware</t>
  </si>
  <si>
    <t xml:space="preserve">D-41; D-42</t>
  </si>
  <si>
    <t xml:space="preserve">Structure review (download list); Arsenal structure (pull list); Roster structure (storage and pull list).</t>
  </si>
  <si>
    <t xml:space="preserve">S-35</t>
  </si>
  <si>
    <t xml:space="preserve">Slot save and restore</t>
  </si>
  <si>
    <t xml:space="preserve">Add save-before-unload and restore-after-load of each resumable task's slot (llama-server /slots/&lt;id&gt;?action=save and restore; --slot-save-path is already rendered on every unit), with a per-architecture check and a size and age limit on the slot directory, which restic backs up (32K: DeepSeek about 0.2 GiB, GLM about 0.6 GiB at f16).</t>
  </si>
  <si>
    <t xml:space="preserve">orchestrator/src/atlas/engines.py (slot client), arbiter.py (unload and load hooks), deep_think.py; phase2/engine-env.py L211; phase2/07-restic.sh include set; FRAMEWORK_REVIEW 4.4 L283-L295, 5.2 L327, 5.4, 6.3, App C L1262</t>
  </si>
  <si>
    <t xml:space="preserve">D-44; T-13</t>
  </si>
  <si>
    <t xml:space="preserve">Structure review (slot save/restore); Arsenal structure (slot save/restore); Arsenal report sequential L76.</t>
  </si>
  <si>
    <t xml:space="preserve">S-36</t>
  </si>
  <si>
    <t xml:space="preserve">Retrieval engines (5.3, D4)</t>
  </si>
  <si>
    <t xml:space="preserve">Swap embed-bge-m3 and rerank-bge-v2-m3 for the approved Qwen3 embedder (--embedding --pooling last -ub 8192) and reranker (--reranking on a GGUF with the rank head; at the pin a query plus document longer than -ub is rejected, fixed in #28876), update the Phase 2 pulls and resident keys, and rewrite 5.3 and D4.</t>
  </si>
  <si>
    <t xml:space="preserve">config/engines.json L266-L319; phase2/04-memory.sh ATLAS_RESIDENT_KEYS L128, pull guard L294-L295; FRAMEWORK_REVIEW 4.1 L226-L228, 5.3 L332-L340, D4 L1011, 17 Phase 2 step 4 L931; workbook</t>
  </si>
  <si>
    <t xml:space="preserve">D-01; D-14; D-45; C-02; C-03</t>
  </si>
  <si>
    <t xml:space="preserve">Structure review (retrieval engines); Arsenal structure (retrieval companions); Roster structure (retrieval pair).</t>
  </si>
  <si>
    <t xml:space="preserve">S-37</t>
  </si>
  <si>
    <t xml:space="preserve">Section 17 Phase 2 and Phase 4 text</t>
  </si>
  <si>
    <t xml:space="preserve">Rewrite Phase 2 step 1 (the pin and the optional ROCm prefill container), step 4 (resident small models: router, new embedder and reranker, OCR), step 5 (speech-to-text, diariser, TTS) and Phase 4 step 2's engine order for the image and OCR changes.</t>
  </si>
  <si>
    <t xml:space="preserve">FRAMEWORK_REVIEW 17 Phase 2 L928-L932, Phase 4 L952-L953</t>
  </si>
  <si>
    <t xml:space="preserve">D-01; D-14; D-26; D-45</t>
  </si>
  <si>
    <t xml:space="preserve">Structure review (Section 17 text).</t>
  </si>
  <si>
    <t xml:space="preserve">S-38</t>
  </si>
  <si>
    <t xml:space="preserve">Always-resident set</t>
  </si>
  <si>
    <t xml:space="preserve">Rewrite the always-resident rows and the 6-8 GiB GPU resident set for the chosen companions. Router 4.5 GB, Qwen3-Embedding-8B 8.05 GB, Qwen3-Reranker-8B about 8 GB, OCR about 1 GB and Qwen3-ASR 2.17 GB would lift it to about 22-25 GiB and cut the budget to about 146-150 GiB, refusing MiMo and Flash-Next Q6, so the chosen placement must be written into the budget arithmetic.</t>
  </si>
  <si>
    <t xml:space="preserve">FRAMEWORK_REVIEW 4.1 rows L226-L231; orchestrator/src/atlas/arbiter.py docstring L24-L44; config.py L37-L60</t>
  </si>
  <si>
    <t xml:space="preserve">D-14; D-45</t>
  </si>
  <si>
    <t xml:space="preserve">Structure review (always-resident set); Roster report Addendum (sizes).</t>
  </si>
  <si>
    <t xml:space="preserve">S-39</t>
  </si>
  <si>
    <t xml:space="preserve">Baseline version and records</t>
  </si>
  <si>
    <t xml:space="preserve">Raise the document to v0.4.0 and rewrite the header rows (Version, Date, Supersedes, the 'Closed build baseline' status) and Section 0 items 2, 3, 4 and 7; add D-rows from D16 reopening D4, D10 and D12, and C-rows from C28 superseding C23, C25 and C26.</t>
  </si>
  <si>
    <t xml:space="preserve">FRAMEWORK_REVIEW header L3-L11, 0 L29-L44, 18 L996-L999, 19 L1004-L1022</t>
  </si>
  <si>
    <t xml:space="preserve">D-25; D-15; D-20; D-21; D-29; D-32; D-45</t>
  </si>
  <si>
    <t xml:space="preserve">Structure review (baseline version); Arsenal structure (decisions register).</t>
  </si>
  <si>
    <t xml:space="preserve">S-40</t>
  </si>
  <si>
    <t xml:space="preserve">Research record and citations</t>
  </si>
  <si>
    <t xml:space="preserve">Add the three reports and their research_notes folders to Appendix D, and re-cite the pins in engines.json _meta, phase4-engines.json and 05-voice.sh to sources that are in the repository: they cite Day 1 research files (gguf-models.md, llama-cpp-vulkan.md, rocm-containers.md, voice-stt.md, services-tools.md) that are not in the repository, so the first-support tags and sizes behind them cannot be re-read.</t>
  </si>
  <si>
    <t xml:space="preserve">FRAMEWORK_REVIEW App D L1270-L1274; config/engines.json _meta L16; config/phase4-engines.json L11; phase2/05-voice.sh L141-L143</t>
  </si>
  <si>
    <t xml:space="preserve">Roster baseline notes L343-L344. FRAMEWORK_REVIEW App D L1272.</t>
  </si>
  <si>
    <t xml:space="preserve">S-41</t>
  </si>
  <si>
    <t xml:space="preserve">Embedding dimension and re-index</t>
  </si>
  <si>
    <t xml:space="preserve">Keep the 1024-dim schema by truncating Qwen3-Embedding's output (MRL) and re-normalising in the client, add the query instruction prefix, and change the 1024 checks and the 'bge-m3' collection metadata; if adopted after Day 1, re-embed every Chroma collection into fresh collections (Chroma 1.5.9 never compacts, R27) and rebuild LightRAG's vectors.</t>
  </si>
  <si>
    <t xml:space="preserve">scripts/day1/phase2/04-memory.sh L517-L526, L660, L993-L996; orchestrator/src/atlas/memory.py L20, L345, L959-L967, L1225; FRAMEWORK_REVIEW 10.1 L636, 10.2 L640</t>
  </si>
  <si>
    <t xml:space="preserve">Structure review (embedding dimension); Roster structure (retrieval pair).</t>
  </si>
  <si>
    <t xml:space="preserve">S-42</t>
  </si>
  <si>
    <t xml:space="preserve">Apex engine entry</t>
  </si>
  <si>
    <t xml:space="preserve">Move the Apex entry from UD-Q4_K_XL (155.10 GB) to UD-Q8_K_XL (161.87 GB / 150.75 GiB) from unsloth/DeepSeek-V4-Flash-0731-GGUF; replace the descending KV ladder (q4_0 target) with the highest-precision coherent rung that fits (f16, then q8_0, never q4_0); re-size ctx_size from the measured cache; replace the 25-32 tok/s band (no measurement; about 7 as a floor) or make it informational; rewrite the 'Why DeepSeek V4 Flash is Q4 and not Q8' paragraph.</t>
  </si>
  <si>
    <t xml:space="preserve">config/engines.json deepseek-v4-flash L141-L177, kv_rule and kv_ladder_rule L9-L10; phase3/loadtest.py ladder_engine (L25, L51-L54); orchestrator config.py L40-L46; FRAMEWORK_REVIEW 0 item 3, 2 L96, 4.1 L242, 4.2 rule 7, 4.3 L269, 5.1 L311-L317, 15.4, 17 Phase 3 step 1 L945, 21 V22 L1086, 23 S2, App B L1244; workbook Ref Engines, Ref Hardware</t>
  </si>
  <si>
    <t xml:space="preserve">D-11; D-29; D-33; D-47</t>
  </si>
  <si>
    <t xml:space="preserve">Structure review (Apex entry); Arsenal structure (Apex rung and KV ladder); Roster structure (Apex file, Apex KV ladder); Lucebox structure (Apex rung, gate band).</t>
  </si>
  <si>
    <t xml:space="preserve">S-43</t>
  </si>
  <si>
    <t xml:space="preserve">Section 9.1 Deep Think</t>
  </si>
  <si>
    <t xml:space="preserve">Change the generator, adversary, third-opinion and synthesis engines to GLM-5.3-Flash, DeepSeek-V4-Flash and Qwen3.8-Flash-Next, update the tier engine lists, restate the tier table (deep: 3-4 swaps, about 2.5-5.5 min of swap overhead plus re-prefill), and state the deep tier's minimum decode rate and that trials measure greedy and temperature 1.0.</t>
  </si>
  <si>
    <t xml:space="preserve">orchestrator/src/atlas/deep_think.py L52-L59; arbiter.py deep_think_engines L488-L494; config/engines.json deepseek-v4-flash expected_decode_tok_s; FRAMEWORK_REVIEW 6.1 L366-L368, 9.1 L567-L577, 21</t>
  </si>
  <si>
    <t xml:space="preserve">D-22; D-43; D-47</t>
  </si>
  <si>
    <t xml:space="preserve">Structure review (Deep Think); Arsenal structure (Deep Think engines); Lucebox structure (Deep Think floor).</t>
  </si>
  <si>
    <t xml:space="preserve">S-44</t>
  </si>
  <si>
    <t xml:space="preserve">Per-slot window and slot profiles (4.3)</t>
  </si>
  <si>
    <t xml:space="preserve">Set a per-engine slot and context profile from the measured KV (fewer slots, longer windows), re-derive the S52 per-slot window rule for a pooled window under --kv-unified (GLM) or a single large slot under --parallel 1, and re-verify the 4.3 context, parallel and context-shift rows at the new pin.</t>
  </si>
  <si>
    <t xml:space="preserve">orchestrator/src/atlas/engines.py L30-L57, L130-L150, L203-L230 (fit_to_window, SlotWindow); config/engines.json ctx_size, parallel, ctx_rule L5, parallel_rule L11; phase2/engine-env.py; FRAMEWORK_REVIEW 4.3 L272-L277, 4.4, App B; tests/test_context_window.py</t>
  </si>
  <si>
    <t xml:space="preserve">D-01; D-48</t>
  </si>
  <si>
    <t xml:space="preserve">Structure review (per-slot window); Roster structure (context per slot).</t>
  </si>
  <si>
    <t xml:space="preserve">S-45</t>
  </si>
  <si>
    <t xml:space="preserve">Pre-execution checklist (Section 22)</t>
  </si>
  <si>
    <t xml:space="preserve">Add boxes for the new licence acceptances (Qwen Community 1.0, NVIDIA Nemotron Open Model License, OpenMDW-1.1), the new risk acknowledgements and the Principal's own test sets; replace the '~690 GB Phase 3 download' line, and the gated-model list if pyannote 3.1 stops being the V6 model.</t>
  </si>
  <si>
    <t xml:space="preserve">FRAMEWORK_REVIEW 22 L1096-L1137 (gated models L1112, bandwidth L1127, accepted resolutions L1130-L1137)</t>
  </si>
  <si>
    <t xml:space="preserve">D-03; D-04; D-05; D-41; D-49</t>
  </si>
  <si>
    <t xml:space="preserve">Structure review (checklist).</t>
  </si>
  <si>
    <t xml:space="preserve">S-46</t>
  </si>
  <si>
    <t xml:space="preserve">Phase 4 engines under single-engine operation</t>
  </si>
  <si>
    <t xml:space="preserve">State in 4.2 and 15.2 that every Phase 4 load evicts the resident LLM seat (no room beside a 146-157 GiB engine) and that image and video work is batched; Phase 4's Day 1 tests are unaffected because each engine is tested alone.</t>
  </si>
  <si>
    <t xml:space="preserve">FRAMEWORK_REVIEW 4.2 L244-L258, 15.2 intro L792; orchestrator/src/atlas/arbiter.py Phase 4 class handling L45-L58</t>
  </si>
  <si>
    <t xml:space="preserve">D-32; D-50</t>
  </si>
  <si>
    <t xml:space="preserve">Structure review (Phase 4 engines).</t>
  </si>
  <si>
    <t xml:space="preserve">S-47</t>
  </si>
  <si>
    <t xml:space="preserve">Risk register</t>
  </si>
  <si>
    <t xml:space="preserve">Add risks for the re-pin (behaviour change on every engine, -fa dependent), GLM's lossy rung (KLD 0.117, 88.2% top-1), swap and re-prefill latency (50-85 s per swap; DeepSeek 4.4 min at 32K, 13 min at 64K), companions shrinking the engine budget, and the ROCm trial engine (gfx1151 stability with the inbox driver only, #25992, ROCm #6186; fast-moving source; greedy-only speeds; router-bias fidelity). Generalise R19, restate R20 for about 1.9 TB and extend R13 to MiMo uncensored and Derestricted.</t>
  </si>
  <si>
    <t xml:space="preserve">FRAMEWORK_REVIEW 20 L1026-L1057 (R13 L1052, R19 L1039, R20 L1040, new rows after R28)</t>
  </si>
  <si>
    <t xml:space="preserve">D-01; D-02; D-14; D-51; D-52</t>
  </si>
  <si>
    <t xml:space="preserve">Structure review (risk register); Lucebox structure (risk register); Arsenal report quantisation and sequential sections.</t>
  </si>
  <si>
    <t xml:space="preserve">S-48</t>
  </si>
  <si>
    <t xml:space="preserve">Risk rows R4 and R17</t>
  </si>
  <si>
    <t xml:space="preserve">Restate R4 (KV quantisation silently falling back) for the new architectures: GLM-5.3-Flash may need -fa off on Vulkan, which rules out a quantised V cache, and glm5-next, mimo2, qwen4exp and qwen3moe each need their own KV proof lines in V4. Restate R17 (gated pyannote not accepted) once Nemotron 3 Diarization (OpenMDW, not gated) is primary and the gated community-1 is only the fallback.</t>
  </si>
  <si>
    <t xml:space="preserve">FRAMEWORK_REVIEW 20 R4 L1033, R17 L1056, 21 V4 and V6</t>
  </si>
  <si>
    <t xml:space="preserve">D-29; D-05; C-06</t>
  </si>
  <si>
    <t xml:space="preserve">Roster report L52, L56 (GLM -fa off). Arsenal report companions L84 (diariser). FRAMEWORK_REVIEW R4 L1033, R17 L1056.</t>
  </si>
  <si>
    <t xml:space="preserve">S-49</t>
  </si>
  <si>
    <t xml:space="preserve">Build-time allowlist</t>
  </si>
  <si>
    <t xml:space="preserve">Record the trial sources (antirez/ds4, Luce-Org/lucebox, the kyuz0 image, AMD's ROCm repository) in 12.5 and as a 16.3 item 8 approval, enforced by a logged --reload-allowlist before and after each build, since squid has no time window; no new host is needed (github.com, codeload, registry-1.docker.io, auth.docker.io, production.cloudfront.docker.com, stable.repo.amd.com are listed), plus repo.radeon.com only if the image installs ROCm from AMD's apt repository.</t>
  </si>
  <si>
    <t xml:space="preserve">scripts/day1/config/allowlist.txt L51-L84; FRAMEWORK_REVIEW 12.5 L705, 16.3 item 8 L890, 23 new S-row (precedent S13)</t>
  </si>
  <si>
    <t xml:space="preserve">Structure review (allowlist); Lucebox structure (outbound allowlist); Lucebox report Inputs row 4.</t>
  </si>
  <si>
    <t xml:space="preserve">S-50</t>
  </si>
  <si>
    <t xml:space="preserve">Fidelity rule</t>
  </si>
  <si>
    <t xml:space="preserve">Add a standing rule that routed engines use only lossless accelerations (default expert count, exact-verify speculative decoding, prefix caching), with approximate switches allowed only in scored trials.</t>
  </si>
  <si>
    <t xml:space="preserve">FRAMEWORK_REVIEW 5.1 quantisation rule paragraph (RESOLVED C23), 16.1 standing rules</t>
  </si>
  <si>
    <t xml:space="preserve">Lucebox structure (fidelity rule); Lucebox report L128, L313.</t>
  </si>
  <si>
    <t xml:space="preserve">S-51</t>
  </si>
  <si>
    <t xml:space="preserve">ROCm container for the DeepSeek V4.1 trial</t>
  </si>
  <si>
    <t xml:space="preserve">Record V4.1 as an evaluation-only trial outside the routed roster (Apex unchanged) and add it: DwarfStar with antirez's Q2 file (365.71 GB, 151.76 GiB resident, KL 0.260, 14-16.5 tok/s measured) in kyuz0's ROCm 10.0 container, pinned by image digest and source commit, inbox amdgpu driver only, locked memory for that container alone, registered with the Arbiter as an exclusive external engine, built after Day 1 and never by atlas-day1.sh; one trial file of about 366 GB at a time on its own path.</t>
  </si>
  <si>
    <t xml:space="preserve">new scripts/day1/phase4/engines/ds41-trial.sh (or a post-Day-1 trials directory) with a config entry and pinned image definition under scripts/day1/docker/; orchestrator/src/atlas/arbiter.py external class; FRAMEWORK_REVIEW 3.4 L141-L147 (new row), C2 L975, 4.2, 5.2, 15.4, 15.5 (new row), 19 (new D-row), 23, App C L1258-L1268, App D</t>
  </si>
  <si>
    <t xml:space="preserve">D-46; D-51; D-52; D-54; D-57</t>
  </si>
  <si>
    <t xml:space="preserve">Structure review (ROCm container); Lucebox structure (roster record, GPU compute stack, storage plan).</t>
  </si>
  <si>
    <t xml:space="preserve">S-52</t>
  </si>
  <si>
    <t xml:space="preserve">Exclusions record</t>
  </si>
  <si>
    <t xml:space="preserve">List the engines considered and not adopted, each with the rule it fails: Qwen3-235B-A22B, Llama 4 Maverick, Mistral Large 2 Uncensored, Mistral Large 3 (1-bit), Intern-S2-397B (2-bit), Qwen3.5-397B, Hy3, Step-3.7-Flash, Mistral Medium 3.5, Mistral Small 4, Devstral 2, Nemotron 3 Puzzle, Harrier-27B, the large huihui abliterations, kldzj Heretic, and Qwen3.8-27B, Gemma 4 31B and MedGemma-27B (70B floor). Also add, each with the rule it fails: out-of-envelope frontier models (Nemotron 3 Ultra 550B, Qwen3.8-2.4T-A95B under the Qwen3.8-Max licence, MiMo-V2.6-Pro, GLM-5.3 744B, Kimi K3); DeepSeek-V4-Flash-Vision-Exp (experimental, DEEPSEEK4V projector in the pin, no node test); stock MiMo-V2.6-Flash and MiniMax-M3 (vision at the pin, not allocated); sub-70B releases (Nemotron 3.5 Lightning 30B, Muse Glimmer 28B, Qwen3.6 27B and 35B); whichever of Apertus-70B-MeditronFO, XORTRON and Qwen3.5-122B-A10B the decisions reject; and companions not adopted: DiariZen (CC BY-NC), Sortformer (four-speaker cap), pyannoteAI precision-2/3 (cloud), Parakeet TDT and Canary-Qwen (NeMo, CUDA), FLUX.2-dev, Higgs v3 and Fish S2-Pro (non-commercial), Gemma 4 E4B and Granite 4.1 8B (router).</t>
  </si>
  <si>
    <t xml:space="preserve">FRAMEWORK_REVIEW 15.5 (or a new engine watch-list under Section 5), 14.1; workbook Ref Engines, Ref Voice, Ref Multimodal</t>
  </si>
  <si>
    <t xml:space="preserve">D-06; D-15; D-19; D-20; D-21; D-24; D-58; C-05; C-06</t>
  </si>
  <si>
    <t xml:space="preserve">Arsenal structure (exclusions record); Arsenal report verdict table L40-55. Roster named-model exclusions (report L35-L52, L70-L72). Roster report L9, L11, L13, L74, L76-L79, L102. Arsenal CR G3 (L104), section 5 (L255, L262).</t>
  </si>
  <si>
    <t xml:space="preserve">S-53</t>
  </si>
  <si>
    <t xml:space="preserve">Appendix B launch lines</t>
  </si>
  <si>
    <t xml:space="preserve">Rewrite the llama-server blocks per approved seat: the -fa setting from the parity test, KV types, --kv-unified for GLM if chosen, --parallel and context, --mmproj on the GLM unit for vision, drafter flags if approved, and the build tag line.</t>
  </si>
  <si>
    <t xml:space="preserve">FRAMEWORK_REVIEW App B L1238-L1246; phase2/engine-env.py rendering</t>
  </si>
  <si>
    <t xml:space="preserve">D-01; D-29; D-48; D-61</t>
  </si>
  <si>
    <t xml:space="preserve">Structure review (Appendix B).</t>
  </si>
  <si>
    <t xml:space="preserve">S-54</t>
  </si>
  <si>
    <t xml:space="preserve">If approved, add the DSpark drafter (10.9 GB) for DeepSeek and the MTP file (2.8 GB) for Flash-Next to the pull and --spec-type flags to extra_args; 0731 has no MTP head, so only draft-dspark applies there, and Nemotron and Flash-Next MTP land only after v0.4.1.</t>
  </si>
  <si>
    <t xml:space="preserve">config/engines.json notes L176 ('DSpark drafter ... NOT pulled on Day 1') and extra_args; FRAMEWORK_REVIEW 15.4, App B</t>
  </si>
  <si>
    <t xml:space="preserve">D-01; D-61</t>
  </si>
  <si>
    <t xml:space="preserve">Structure review (drafters); Roster report Addendum (the pin); Arsenal report disk set.</t>
  </si>
  <si>
    <t xml:space="preserve">S-55</t>
  </si>
  <si>
    <t xml:space="preserve">Hardware baseline</t>
  </si>
  <si>
    <t xml:space="preserve">Only if a discrete GPU is approved: add the R9700 in a USB4 v2 dock as a second device with its own 32 GB pool, its kernel parameters (thunderbolt.host_reset=false, amdgpu.runpm=0) and its power and noise limits.</t>
  </si>
  <si>
    <t xml:space="preserve">FRAMEWORK_REVIEW 2, 3.3, 3.4, 4.1 budget, 4.2 Arbiter (two devices), 20</t>
  </si>
  <si>
    <t xml:space="preserve">Lucebox structure (hardware baseline); Lucebox report L317-L325.</t>
  </si>
  <si>
    <t xml:space="preserve">S-56</t>
  </si>
  <si>
    <t xml:space="preserve">Zero-cloud record</t>
  </si>
  <si>
    <t xml:space="preserve">Record that Lucebox's appliance software (updater, cloud fallback, crash Report, Tailscale, Connect) is never installed and, if approved, that only the engine may be built from a pinned commit.</t>
  </si>
  <si>
    <t xml:space="preserve">FRAMEWORK_REVIEW 15.5 (new row with the failed rule), 16.3 item 8 note; Section 1 unchanged</t>
  </si>
  <si>
    <t xml:space="preserve">D-55; D-63</t>
  </si>
  <si>
    <t xml:space="preserve">Lucebox structure (zero-cloud record); Lucebox report L368-L370.</t>
  </si>
  <si>
    <t xml:space="preserve">S-57</t>
  </si>
  <si>
    <t xml:space="preserve">Watch-lists</t>
  </si>
  <si>
    <t xml:space="preserve">Add to 15.5: DeepSeek V4.1 Flash runtimes (llama.cpp PR #28696, ik_llama.cpp), GLM Legal, Mistral Large 4, Nemotron 4, Nemotron 3 Puzzle, Qwen3.5-397B at 3 bits, K2-Horizon-375B, the large 2026 abliterations, EmbeddingGemma 2 if dropped, Harrier-27B, the open llama.cpp PRs (#26603 llama-server TTS endpoint; #28696 V4.1, listed above) and, until the re-pin lands, the post-pin merges #29018 (2026-09-17), #28876 (2026-09-27) and #29761 (2026-10-01), which are merged, not pending. Add to 3.7: W-DGPU (R9700 in a USB4 v2 dock) and Lucebox's memory guard, 120-day signed manifests, session-log retrieval and usage-ranked expert placement; move Qwen3-TTS from the 14.1 watch-list to the test plan.</t>
  </si>
  <si>
    <t xml:space="preserve">FRAMEWORK_REVIEW 3.7 L204-L213, 10.1, 10.2, 14.1 L737, 15.5 L842-L854, 23 watch-list paragraph L1200, App D; workbook Ref Multimodal, Ref Voice</t>
  </si>
  <si>
    <t xml:space="preserve">D-24; D-58; D-60; D-62; D-64</t>
  </si>
  <si>
    <t xml:space="preserve">Structure review (watch-lists); Lucebox structure (watch-list); Roster structure (watch-list).</t>
  </si>
  <si>
    <t xml:space="preserve">S-58</t>
  </si>
  <si>
    <t xml:space="preserve">Section 23 S-row</t>
  </si>
  <si>
    <t xml:space="preserve">Add S54 recording the script corrections that follow the approved decisions (pin, engines.json roster, Arbiter units and residency, router rules, Phase 3 list and gates, retrieval), extend the watch-list paragraph, and remove from the 'Reserved for the Principal' list the vision engine's 8-slot profile and the overrides.json coresident=false items.</t>
  </si>
  <si>
    <t xml:space="preserve">FRAMEWORK_REVIEW 23 after S53 (L1198) and the watch-list paragraph L1200</t>
  </si>
  <si>
    <t xml:space="preserve">D-25; every approved D-row</t>
  </si>
  <si>
    <t xml:space="preserve">Structure review (Section 23 S-row).</t>
  </si>
  <si>
    <t xml:space="preserve">S-59</t>
  </si>
  <si>
    <t xml:space="preserve">Workbook companion</t>
  </si>
  <si>
    <t xml:space="preserve">Rebuild docs/ATLAS_BUILD_BASELINE.xlsx after the document edits: Ref Engines, Ref Multimodal, Ref Voice, Ref Day 1, Ref Hardware, Ref Task Forces if presets gain engines, Ref Domains only if an engine column is added, sheets 1-5 for the new D, C, R, V and checklist rows, and the Summary version; update fill-workbook.py for any V-row added or retired.</t>
  </si>
  <si>
    <t xml:space="preserve">workbook builder (r54/build.py, to be committed per D-27); docs/ATLAS_BUILD_BASELINE.xlsx; scripts/day1/tools/fill-workbook.py</t>
  </si>
  <si>
    <t xml:space="preserve">D-25; D-27; every approved D-row</t>
  </si>
  <si>
    <t xml:space="preserve">Structure review (workbook companion); Arsenal structure (decisions register and workbook).</t>
  </si>
  <si>
    <t xml:space="preserve">S-60</t>
  </si>
  <si>
    <t xml:space="preserve">Script companions and tests</t>
  </si>
  <si>
    <t xml:space="preserve">Update README.md, COVERAGE.md, CONVENTIONS.md section 8 and config/README.md for the new keys, steps and V-rows, and the orchestrator tests and fixtures that pin today's keys (test_arbiter, test_config, test_router, test_approval, test_engine_env, test_context_window, test_phase3_loadtest); 50 files under scripts/day1 name a current engine key.</t>
  </si>
  <si>
    <t xml:space="preserve">scripts/day1/README.md, COVERAGE.md, CONVENTIONS.md, config/README.md; orchestrator/tests/*.py and tests/fixtures/config/</t>
  </si>
  <si>
    <t xml:space="preserve">Structure review (script companions; grep of current engine keys).</t>
  </si>
  <si>
    <t xml:space="preserve">Baseline open items</t>
  </si>
  <si>
    <t xml:space="preserve">Items open in the baseline v0.3.5 and the Day 1 build before this research: prompt-time inputs, to-dos, phased items, watch-list entries and document fixes.</t>
  </si>
  <si>
    <t xml:space="preserve">Open item</t>
  </si>
  <si>
    <t xml:space="preserve">Current status</t>
  </si>
  <si>
    <t xml:space="preserve">B-01</t>
  </si>
  <si>
    <t xml:space="preserve">Apex Q8 arithmetic (Section 5.1)</t>
  </si>
  <si>
    <t xml:space="preserve">Section 5.1 says UD-Q8_K_XL would leave about 2 GiB for KV (Q4 about 9) and logs Q8 as a post-Day-1 experiment; it reads the 161.9 GB file as GiB.</t>
  </si>
  <si>
    <t xml:space="preserve">Correct it: UD-Q8_K_XL is 150.75 GiB and UD-Q4_K_XL 144.44 GiB, leaving about 13 and 19.5 GiB of ~164 GiB before compute buffers; the dsv4 cache is about 6,880 B/token (0.24 GiB at 32K). Adopt Q8 per D-11.</t>
  </si>
  <si>
    <t xml:space="preserve">Wrong as written (FRAMEWORK_REVIEW L317); v0.3.5 adopts UD-Q4_K_XL 155 GB. Valid whatever D-11 decides.</t>
  </si>
  <si>
    <t xml:space="preserve">Arsenal CR C1 (L230); Arsenal report what changed L88. Roster report L86, Addendum L136.</t>
  </si>
  <si>
    <t xml:space="preserve">B-02</t>
  </si>
  <si>
    <t xml:space="preserve">Two-engine pair and vision profile (S52)</t>
  </si>
  <si>
    <t xml:space="preserve">Rule 3 allows two resident engines; the vision engine's standing 2 x 32K profile (KV 10.6 GiB) pairs it with gpt-oss (about 142 GB, 157.69 GiB charged), tested by Phase 3 step 3 and V21; 8 x 32K only by override (overrides.json coresident=false, KV 42.5 GiB).</t>
  </si>
  <si>
    <t xml:space="preserve">Retire or re-base the pair, its profile and V21 with D-20 and D-32; keep a two-resident limit only for small loads.</t>
  </si>
  <si>
    <t xml:space="preserve">Built and tested in the Day 1 scripts (S52); superseded in purpose by the run-alone directive.</t>
  </si>
  <si>
    <t xml:space="preserve">Arsenal report what changed L88; FRAMEWORK_REVIEW 4.1, 4.3, 21 V21 (L1085), 23 S52 (L1197). Roster baseline notes L146, L151, L153.</t>
  </si>
  <si>
    <t xml:space="preserve">B-03</t>
  </si>
  <si>
    <t xml:space="preserve">Arbiter KV projections (to-do kv-estimates)</t>
  </si>
  <si>
    <t xml:space="preserve">The Arbiter's per-token KV figures are UNVERIFIED: DeepSeek 327,680 B (about 10 GiB at 32K), Nemotron 77,102 B, Qwen3.5 115,653 B; the S52 to-do kv-estimates compares them with Phase 3's measured context memory.</t>
  </si>
  <si>
    <t xml:space="preserve">Replace DeepSeek's figure with about 6,880 B/token from the pinned llama-kv-cache-dsv4.cpp now, add the new engines' figures, and adopt the Phase 3 measurements for every kept engine before any long context: a registered footprint lasts only until the orchestrator restarts, after which the estimates govern every load and eviction.</t>
  </si>
  <si>
    <t xml:space="preserve">Open to-do kv-estimates (S52), raised by Phase 3 step 4. Estimates err high on purpose (gpt-oss about 2.7 GiB by structure against 5.06 GiB projected); real figures UNKNOWN until Phase 3.</t>
  </si>
  <si>
    <t xml:space="preserve">Arsenal CR C1 (L230); verification_named_heavyweight_moe row 6; arbiter.py L151. Roster baseline notes L149-L150; Roster gap_closure L359. FRAMEWORK_REVIEW 23 S52 (L1197); loadtest.py L2267-L2547.</t>
  </si>
  <si>
    <t xml:space="preserve">B-04</t>
  </si>
  <si>
    <t xml:space="preserve">Apex decode band (V10)</t>
  </si>
  <si>
    <t xml:space="preserve">Section 5.1 and engines.json L171 expect 25-32 tok/s for the Apex; loadtest.py check_band fails V10 below the lower bound, and no measurement supports the band.</t>
  </si>
  <si>
    <t xml:space="preserve">Re-base it before Phase 3 on the chosen rung with the arsenal projections (about 11 tok/s at UD-Q4_K_XL, about 7 at UD-Q8_K_XL on mainline Vulkan, both floors), or make the Apex row informational until measured (D-33).</t>
  </si>
  <si>
    <t xml:space="preserve">Open: engines.json L171 sets 25 and 32; every V4 measurement predates the in-pin kernels #27453 and #26578.</t>
  </si>
  <si>
    <t xml:space="preserve">Arsenal CR C2 (L231); Arsenal report L18. Lucebox report path 0 (L355); loadtest.py L1686-L1699.</t>
  </si>
  <si>
    <t xml:space="preserve">B-05</t>
  </si>
  <si>
    <t xml:space="preserve">Swap cost (Sections 4.2, 5.4)</t>
  </si>
  <si>
    <t xml:space="preserve">Sections 4.2 rule 4 and 5.4 give 15-45 s per swap.</t>
  </si>
  <si>
    <t xml:space="preserve">Restate as about 50-85 s per large swap plus re-prefill, pending the node swap test (T-14).</t>
  </si>
  <si>
    <t xml:space="preserve">Neither figure is measured on the node; the design assumes 4-6 GB/s reads, the research uses measured 2.4-6.3 GB/s plus LUKS.</t>
  </si>
  <si>
    <t xml:space="preserve">Arsenal CR C19 (L248); Arsenal report sequential L76.</t>
  </si>
  <si>
    <t xml:space="preserve">B-06</t>
  </si>
  <si>
    <t xml:space="preserve">V10 decode bands, other engines</t>
  </si>
  <si>
    <t xml:space="preserve">V10 expects all seven GGUF engines inside bands that exist only for the baseline engines; the vision engine and Meditron are about 3 tok/s in the document but [2, 4] in engines.json.</t>
  </si>
  <si>
    <t xml:space="preserve">Set bands for the approved engines from the research projections, marked as projections (GLM 12-14, Flash-Next 23-29, MiMo about 18, Baichuan-M3 / Intern-S1 8-13, Coder-Next Q8_0 37-44, gpt-oss 57-60, Nemotron 13.6-15.8 tok/s); the 72B and Meditron figures become moot if D-21 retires them.</t>
  </si>
  <si>
    <t xml:space="preserve">Bands exist only for the baseline engines; the vision / Meditron mismatch is at FRAMEWORK_REVIEW L319-L321 and engines.json L205, L234.</t>
  </si>
  <si>
    <t xml:space="preserve">Arsenal report allocation L15-32; Arsenal CR section 2. Roster baseline notes L127.</t>
  </si>
  <si>
    <t xml:space="preserve">B-07</t>
  </si>
  <si>
    <t xml:space="preserve">Licence fields in engines.json</t>
  </si>
  <si>
    <t xml:space="preserve">engines.json marks the Nemotron (L90), DeepSeek (L153) and bge reranker (L303) licences unverified, and the abliterated gpt-oss licence apache-2.0 (inherited, L61).</t>
  </si>
  <si>
    <t xml:space="preserve">Record Nemotron as read (NVIDIA Nemotron Open Model License: commercial, derivatives, no safety clause), DeepSeek as MIT, and that the abliterated file's base card returns 401.</t>
  </si>
  <si>
    <t xml:space="preserve">Closed by the research, not yet recorded.</t>
  </si>
  <si>
    <t xml:space="preserve">Arsenal CR G5 (L134-141); Arsenal report Inputs L98. Roster baseline notes L71-L72; Roster gap_closure L393, L403-L410.</t>
  </si>
  <si>
    <t xml:space="preserve">B-08</t>
  </si>
  <si>
    <t xml:space="preserve">Nemotron active parameters</t>
  </si>
  <si>
    <t xml:space="preserve">Section 5.1 says 12B active (A12B) while Section 2 and the 5.1 paragraph say 12.7B; S6 records 12.7B as superseded and engines.json notes the conflict.</t>
  </si>
  <si>
    <t xml:space="preserve">Use one figure everywhere: the NVIDIA-NeMo README gives 120.6B total and 12.7B active, so restore 12.7B unless a card stating 12B is cited.</t>
  </si>
  <si>
    <t xml:space="preserve">Inconsistent across FRAMEWORK_REVIEW L96, L309, L313, S6 L1151 and engines.json L107. Still valid: Nemotron stays in the arsenal.</t>
  </si>
  <si>
    <t xml:space="preserve">Roster baseline notes L125; Roster discipline_specific_models L19.</t>
  </si>
  <si>
    <t xml:space="preserve">B-09</t>
  </si>
  <si>
    <t xml:space="preserve">Nemotron footprint</t>
  </si>
  <si>
    <t xml:space="preserve">The document gives 120-123 GB and engines.json footprint_gb 123, but the unsloth Q8_0 is 128,472,991,680 bytes (128.47 GB, 119.65 GiB) in 4 shards, while engines.json expects 3.</t>
  </si>
  <si>
    <t xml:space="preserve">Record 119.65 GiB (or the exact bytes) and 4 shards, and correct the 186 GB Nemotron plus gpt-oss figure to 191.86 GB.</t>
  </si>
  <si>
    <t xml:space="preserve">Inconsistent and partly wrong (FRAMEWORK_REVIEW L239-L241, engines.json L95, L107).</t>
  </si>
  <si>
    <t xml:space="preserve">Roster baseline notes L128; Roster gap_closure L95, L380.</t>
  </si>
  <si>
    <t xml:space="preserve">B-10</t>
  </si>
  <si>
    <t xml:space="preserve">Qwen2.5-VL-72B licence</t>
  </si>
  <si>
    <t xml:space="preserve">The document and workbook say Official Apache-2.0 release; engines.json says Qwen License, not Apache 2.0, unverified.</t>
  </si>
  <si>
    <t xml:space="preserve">Moot if D-21 retires the 72B; otherwise read the official card and correct whichever record is wrong.</t>
  </si>
  <si>
    <t xml:space="preserve">Inconsistent (FRAMEWORK_REVIEW L798, workbook Ref Multimodal C20, engines.json L188).</t>
  </si>
  <si>
    <t xml:space="preserve">Roster baseline notes L126.</t>
  </si>
  <si>
    <t xml:space="preserve">B-11</t>
  </si>
  <si>
    <t xml:space="preserve">Phase 4 step list and UI-TARS references</t>
  </si>
  <si>
    <t xml:space="preserve">Section 17 Phase 4 step 2 still lists TimesFM or Chronos and UI-TARS 2.0, and Section 13 names UI-TARS 2.0, while 15.2 and the manifest build Chronos and UI-TARS-1.5-7B; UI-TARS 2.0 has no open weights (S16).</t>
  </si>
  <si>
    <t xml:space="preserve">Change the step and Section 13 to Chronos and UI-TARS-1.5-7B; keep UI-TARS 2.0 on the watch-list and re-check on an open-weights release.</t>
  </si>
  <si>
    <t xml:space="preserve">Inconsistent (FRAMEWORK_REVIEW L953 against L800, L803 and phase4-engines.json L177, L209); watch-list since September 2026.</t>
  </si>
  <si>
    <t xml:space="preserve">Roster baseline notes L129. FRAMEWORK_REVIEW 15.5 L849, 23 S16, 13, 17 Phase 4 step 2.</t>
  </si>
  <si>
    <t xml:space="preserve">B-12</t>
  </si>
  <si>
    <t xml:space="preserve">Modulus wording in the workbook</t>
  </si>
  <si>
    <t xml:space="preserve">Workbook Ref Multimodal C35 says Modulus would need an NVIDIA card in the PCIe slot; the document says a USB4 external GPU dock, since the machine has no PCIe slot.</t>
  </si>
  <si>
    <t xml:space="preserve">Correct the workbook to the document's wording.</t>
  </si>
  <si>
    <t xml:space="preserve">Inconsistent (workbook C35 against FRAMEWORK_REVIEW L813).</t>
  </si>
  <si>
    <t xml:space="preserve">Roster baseline notes L130.</t>
  </si>
  <si>
    <t xml:space="preserve">B-13</t>
  </si>
  <si>
    <t xml:space="preserve">Optional HIP prefill path</t>
  </si>
  <si>
    <t xml:space="preserve">Section 3.4 and the llama.cpp build script still describe the optional tuned-prefill container as ROCm 7.2.2 plus hipBLASLt, while Phase 4 pins ROCm 10.0.0.</t>
  </si>
  <si>
    <t xml:space="preserve">Restate the row for ROCm 10.x or drop it, and decide it with D-52: re-prefill now dominates swaps, HIP wins long-prompt prefill by about 10-25%, and the HIP corruption trigger of #25992 is reverted inside the pin (#28604).</t>
  </si>
  <si>
    <t xml:space="preserve">Inconsistent (FRAMEWORK_REVIEW L144, phase2/01-llama.sh L21-L22); sequential operation makes prefill speed matter more.</t>
  </si>
  <si>
    <t xml:space="preserve">Roster baseline notes L131; Roster report L56; Roster gap_closure L437, L466.</t>
  </si>
  <si>
    <t xml:space="preserve">B-14</t>
  </si>
  <si>
    <t xml:space="preserve">Embedding candidates in Section 5.3</t>
  </si>
  <si>
    <t xml:space="preserve">Section 5.3 still lists bge-m3 or nomic-embed-text-v2 as candidates, while D4 and the scripts fix bge-m3.</t>
  </si>
  <si>
    <t xml:space="preserve">Replace the row with the embedder C-02 approves, or with bge-m3 alone if none is.</t>
  </si>
  <si>
    <t xml:space="preserve">Inconsistent (FRAMEWORK_REVIEW L337 against L340 and engines.json L273); the retrieval upgrade rewrites the row.</t>
  </si>
  <si>
    <t xml:space="preserve">Roster baseline notes L132.</t>
  </si>
  <si>
    <t xml:space="preserve">B-15</t>
  </si>
  <si>
    <t xml:space="preserve">Day 1 inputs</t>
  </si>
  <si>
    <t xml:space="preserve">Confirm that the Ubuntu installer's encrypted-LVM option (Use an entire disk, the 4 TB drive, Encrypt the LVM group with LUKS) was taken on the OS drive (Section 22 row 17).</t>
  </si>
  <si>
    <t xml:space="preserve">Confirm in your response. If it was not taken, decide before Day 1 whether to reinstall now, since an unencrypted OS volume leaves Section 3.5 unmet and keeps no on-node recovery copy.</t>
  </si>
  <si>
    <t xml:space="preserve">Ticked as done per the returned workbook, but the document still asks for this confirmation. On Day 1 pre-flight and step 2 warn and raise the to-do os-volume-encryption if the OS volume is unencrypted; nothing stops.</t>
  </si>
  <si>
    <t xml:space="preserve">docs/ATLAS_FRAMEWORK_REVIEW.md Section 22 line 1124; scripts/day1/phase1/01-preflight.sh line 152; scripts/day1/phase1/02-luks.sh line 275</t>
  </si>
  <si>
    <t xml:space="preserve">B-16</t>
  </si>
  <si>
    <t xml:space="preserve">SSH public key for key-only login (to-do ssh-key).</t>
  </si>
  <si>
    <t xml:space="preserve">Provide at the Day 1 prompt: run ssh-keygen -t ed25519 once on the Windows PC and paste the one public-key line when Phase 1 step 1 asks.</t>
  </si>
  <si>
    <t xml:space="preserve">Open (Section 22 box unticked, optional). Skipped, password SSH stays on (ATLAS_SSH_PASSWORD_AUTH=keep), short of Section 3.6's key-only rule, until the key is added and phase1 --force 04 is re-run.</t>
  </si>
  <si>
    <t xml:space="preserve">docs/ATLAS_FRAMEWORK_REVIEW.md Section 22 line 1107; scripts/day1/phase1/01-preflight.sh line 187; scripts/day1/README.md Section 1</t>
  </si>
  <si>
    <t xml:space="preserve">B-17</t>
  </si>
  <si>
    <t xml:space="preserve">GOOGLE_ACCOUNTS: the two Google account addresses, each tagged corporate or estate (to-do input-google-accounts).</t>
  </si>
  <si>
    <t xml:space="preserve">Provide at the Day 1 prompt (first load_env run), in the form you@company.com:corporate you@gmail.com:estate.</t>
  </si>
  <si>
    <t xml:space="preserve">Open (Section 22 box unticked, optional). Skipped, Gmail, Calendar and Drive (Phase 2 step 6c, V20) are deferred.</t>
  </si>
  <si>
    <t xml:space="preserve">docs/ATLAS_FRAMEWORK_REVIEW.md Section 22 line 1108; scripts/day1/lib/common.sh lines 1001 to 1003</t>
  </si>
  <si>
    <t xml:space="preserve">B-18</t>
  </si>
  <si>
    <t xml:space="preserve">FAMILY_NAMES: family members' names for the router's family-name hard rule (to-do input-family-names).</t>
  </si>
  <si>
    <t xml:space="preserve">Provide at the Day 1 prompt, space separated.</t>
  </si>
  <si>
    <t xml:space="preserve">Open (Section 22 box unticked, optional). Skipped, the hard rule of Section 7.2 is inactive and family messages depend on the classifier alone.</t>
  </si>
  <si>
    <t xml:space="preserve">docs/ATLAS_FRAMEWORK_REVIEW.md Section 22 line 1108; scripts/day1/lib/common.sh lines 1004 to 1006</t>
  </si>
  <si>
    <t xml:space="preserve">B-19</t>
  </si>
  <si>
    <t xml:space="preserve">Accept or decline Google's Android SDK terms (BUILDFARM_ACCEPT_ANDROID_SDK_LICENCE; to-do input-android-sdk-licence).</t>
  </si>
  <si>
    <t xml:space="preserve">Decide before Day 1 after reading Google's Android SDK terms (16.3 item 2); type yes at the prompt only if you accept them.</t>
  </si>
  <si>
    <t xml:space="preserve">Open (Section 22 box unticked, optional). Skipped or declined, the Android and Windows build container (Phase 2 step 6) is deferred.</t>
  </si>
  <si>
    <t xml:space="preserve">docs/ATLAS_FRAMEWORK_REVIEW.md Section 22 line 1108; scripts/day1/lib/common.sh lines 1007 to 1013; scripts/day1/phase2/06-tools.sh line 930</t>
  </si>
  <si>
    <t xml:space="preserve">B-20</t>
  </si>
  <si>
    <t xml:space="preserve">Hugging Face read token, with the licences of pyannote/speaker-diarization-3.1, pyannote/segmentation-3.0, black-forest-labs/FLUX.1-dev and stabilityai/stable-audio-open-1.0 accepted on the same account (to-do input-hf-token).</t>
  </si>
  <si>
    <t xml:space="preserve">Create the token and accept the four licences before Day 1; type the token at the Phase 2 start prompt (hidden input). Accept any further gated repositories with the same account once the arsenal roster is fixed.</t>
  </si>
  <si>
    <t xml:space="preserve">Open (Section 22 box unticked, optional). Skipped or rejected, PyAnnote (V6), FLUX.1-dev and Stable Audio Open are deferred.</t>
  </si>
  <si>
    <t xml:space="preserve">docs/ATLAS_FRAMEWORK_REVIEW.md Section 22 line 1112; scripts/day1/phase2-services.sh lines 90 to 118</t>
  </si>
  <si>
    <t xml:space="preserve">B-21</t>
  </si>
  <si>
    <t xml:space="preserve">Cloudflare: the Zone:DNS:Edit token in CLOUDFLARE.txt and the 32-hex zone id of sovereign-node.link (to-dos cloudflare-token, cloudflare-zone-id).</t>
  </si>
  <si>
    <t xml:space="preserve">Have the zone id from the zone's Overview page to hand (or add a 'Zone ID:' line to CLOUDFLARE.txt) and keep the 40-character token in the file; give the id when Phase 1 step 7 asks.</t>
  </si>
  <si>
    <t xml:space="preserve">Open (Section 22 box unticked, optional). A DNS-edit-only token cannot list zones, so the id is asked once; missing, dynamic DNS and V23 are deferred.</t>
  </si>
  <si>
    <t xml:space="preserve">docs/ATLAS_FRAMEWORK_REVIEW.md Section 22 line 1113; scripts/day1/phase1/07-remote.sh lines 168 and 175; scripts/day1/phase2/06b-cloudflare-token.sh line 161</t>
  </si>
  <si>
    <t xml:space="preserve">B-22</t>
  </si>
  <si>
    <t xml:space="preserve">Google OAuth on Day 1: the Desktop-app client JSON in the inbox and the Allow click for each account (to-do input-google-oauth-client, V20).</t>
  </si>
  <si>
    <t xml:space="preserve">Drop the JSON (top-level key 'installed') at /srv/atlas/staging/inbox/google-oauth-client.json once Phase 1 has made the folder, and click Allow per account in Chrome on the node's desktop over Remote Desktop during Phase 2 step 6c.</t>
  </si>
  <si>
    <t xml:space="preserve">Client created (box ticked); the file drop and the consent clicks remain Day 1 actions, up to 30 minutes per account. A 'web' client type defers step 6c with the to-do.</t>
  </si>
  <si>
    <t xml:space="preserve">docs/ATLAS_FRAMEWORK_REVIEW.md Section 22 line 1111; scripts/day1/phase2/06c-google-oauth.sh lines 181 to 215; scripts/day1/README.md Section 3</t>
  </si>
  <si>
    <t xml:space="preserve">B-23</t>
  </si>
  <si>
    <t xml:space="preserve">Voice references: copy the sourced Alaric and Gideon recordings into the inbox (V7).</t>
  </si>
  <si>
    <t xml:space="preserve">After Phase 1 makes the folder, copy alaric.* and gideon.* (WAV, MP3 or M4A) into /srv/atlas/staging/inbox/voice-references/ before Phase 2 step 5.</t>
  </si>
  <si>
    <t xml:space="preserve">Recordings sourced (box ticked). Absent files fall back to the nearest Kokoro preset and V7 is recorded deferred; no to-do id is raised.</t>
  </si>
  <si>
    <t xml:space="preserve">docs/ATLAS_FRAMEWORK_REVIEW.md Section 22 line 1114; scripts/day1/README.md Section 1 table</t>
  </si>
  <si>
    <t xml:space="preserve">B-24</t>
  </si>
  <si>
    <t xml:space="preserve">Attend the two 10-minute waits: one Remote Desktop session from the Windows PC (V19, to-do rdp-test) and one WireGuard handshake from the phone on mobile data (V5, to-do vpn-mobile-test).</t>
  </si>
  <si>
    <t xml:space="preserve">Install the WireGuard and ntfy apps on the phone before Day 1 and be present for Phase 1 steps 5b and 7; otherwise run phase1 --force 05b or --force 07 later.</t>
  </si>
  <si>
    <t xml:space="preserve">Open Day 1 actions. A timeout records deferred, never fail; V5 is also the CGNAT check (R11).</t>
  </si>
  <si>
    <t xml:space="preserve">scripts/day1/README.md Section 3; scripts/day1/phase1/05b-desktop.sh line 231; scripts/day1/phase1/07-remote.sh line 430</t>
  </si>
  <si>
    <t xml:space="preserve">B-25</t>
  </si>
  <si>
    <t xml:space="preserve">Vault and secrets</t>
  </si>
  <si>
    <t xml:space="preserve">Initialise the real gocryptfs vault and choose its passphrase (V18).</t>
  </si>
  <si>
    <t xml:space="preserve">Decide before Day 1; recommended: from a console run sudo env ATLAS_VAULT_INIT=1 ./atlas-day1.sh phase2 --force 09b, then write the passphrase and the master key (shown once) with the other secrets.</t>
  </si>
  <si>
    <t xml:space="preserve">Opt-in: a plain phase2 proves the mechanics on a throw-away vault and records V18 deferred, while Section 22 row 4 assumes a vault passphrase exists for the USB drive.</t>
  </si>
  <si>
    <t xml:space="preserve">scripts/day1/README.md Section 3 (the vault is opt-in); docs/ATLAS_FRAMEWORK_REVIEW.md Section 22 line 1105; Section 17 Phase 2 step 9b</t>
  </si>
  <si>
    <t xml:space="preserve">B-26</t>
  </si>
  <si>
    <t xml:space="preserve">Write the USB recovery drive at the Day 1 close-out and store it away from the node (R16).</t>
  </si>
  <si>
    <t xml:space="preserve">At close-out write the LUKS recovery key (Phase 1 step 2), the restic passphrase (Phase 2 step 7), the vault passphrase and the gocryptfs master key; store the drive off-site, not beside the node.</t>
  </si>
  <si>
    <t xml:space="preserve">Drive in hand (confirmed 2026-10-13); the writing stays a close-out step because the material does not exist before Day 1.</t>
  </si>
  <si>
    <t xml:space="preserve">docs/ATLAS_FRAMEWORK_REVIEW.md Section 22 line 1105; R16 line 1055</t>
  </si>
  <si>
    <t xml:space="preserve">B-27</t>
  </si>
  <si>
    <t xml:space="preserve">Internet bandwidth figure for planning the Phase 3 download.</t>
  </si>
  <si>
    <t xml:space="preserve">State the measured figure. The 100 Mbps planning figure gives about 15 h for v0.3.5's 690 GB, but about 42 h for the arsenal's 1.9 TB (computed) or about 9 h for the core seats only (D-42).</t>
  </si>
  <si>
    <t xml:space="preserve">Box ticked, but the figure was never recorded in the workbook; Sections 15.4 and 17 still plan 690 GB and about 15 h.</t>
  </si>
  <si>
    <t xml:space="preserve">FRAMEWORK_REVIEW 22 L1127, 15.4, 17 durations. Arsenal report Inputs L101.</t>
  </si>
  <si>
    <t xml:space="preserve">B-28</t>
  </si>
  <si>
    <t xml:space="preserve">Script wording</t>
  </si>
  <si>
    <t xml:space="preserve">Stale D15 log line: pre-flight prints 'D15: to be enabled in the BIOS' for every Secure Boot state, enabled included.</t>
  </si>
  <si>
    <t xml:space="preserve">Amend the text to report the state without the instruction (for example 'D15: Secure Boot required, enabled by the Principal 2026-10-13'), keeping the warning and the secure-boot to-do for the not-enabled branch only.</t>
  </si>
  <si>
    <t xml:space="preserve">Found in the 2026-10-13 review; cosmetic, no change in behaviour; not yet amended.</t>
  </si>
  <si>
    <t xml:space="preserve">scripts/day1/phase1/01-preflight.sh line 109</t>
  </si>
  <si>
    <t xml:space="preserve">B-29</t>
  </si>
  <si>
    <t xml:space="preserve">Stale present-tense D15 comments that describe enabling Secure Boot as still to come ('the Principal enables it in the BIOS').</t>
  </si>
  <si>
    <t xml:space="preserve">Reword to the settled state (enabled, confirmed 2026-10-13, verified by pre-flight on Day 1) in the same change as the log line.</t>
  </si>
  <si>
    <t xml:space="preserve">Comments only; found in the 2026-10-13 review; not yet amended.</t>
  </si>
  <si>
    <t xml:space="preserve">scripts/day1/phase1-platform.sh line 40; scripts/day1/phase1/02-luks.sh line 38; scripts/day1/verify/v02-tpm.sh line 11</t>
  </si>
  <si>
    <t xml:space="preserve">B-30</t>
  </si>
  <si>
    <t xml:space="preserve">Watchdog (S50)</t>
  </si>
  <si>
    <t xml:space="preserve">Softdog fallback: keep it, or record no watchdog, when step 4 finds no usable hardware watchdog (to-do watchdog).</t>
  </si>
  <si>
    <t xml:space="preserve">Confirm the build default now (keep softdog). If Day 1 raises the to-do, check the BIOS for a watchdog setting, then re-run phase1 --force 04 --force 05.</t>
  </si>
  <si>
    <t xml:space="preserve">Deferred decision. The SP5100 TCO timer (PCI 1022:790b rev 0x71) is expected but UNKNOWN until step 4; softdog covers a frozen or crashed systemd, not reliably a hard kernel lockup.</t>
  </si>
  <si>
    <t xml:space="preserve">docs/ATLAS_FRAMEWORK_REVIEW.md Section 23 S50 line 1195 and Section 3.6; scripts/day1/phase1/04-system.sh line 1278</t>
  </si>
  <si>
    <t xml:space="preserve">B-31</t>
  </si>
  <si>
    <t xml:space="preserve">GTT / Vulkan heap</t>
  </si>
  <si>
    <t xml:space="preserve">Whether the usable Vulkan heap is about 176-189 GiB or the vendor's 160 GB (149.01 GiB) cap; V3b requires Vulkan0 of at least 160000 MiB (about 156 GiB).</t>
  </si>
  <si>
    <t xml:space="preserve">Keep V3a/V3b as gates with the floor raised per D-36, and treat the measured heap as decisive for every rung above about 149 GiB (V4 UD-Q8_K_XL, the 5-bit 235B-class rungs, Flash-Next Q6, MiMo MXFP4).</t>
  </si>
  <si>
    <t xml:space="preserve">Unresolved until V3 measures it (T-01); cafonez shows mem_info_gtt_total about 189 GB on a PRO 495 under Ubuntu 26.04 with ttm.pages_limit.</t>
  </si>
  <si>
    <t xml:space="preserve">Arsenal CR C18 (L247); Arsenal report gaps L90.</t>
  </si>
  <si>
    <t xml:space="preserve">B-32</t>
  </si>
  <si>
    <t xml:space="preserve">Nemotron issue #20732</t>
  </si>
  <si>
    <t xml:space="preserve">A Vulkan GPU memory fault near 20K-token prompts on Nemotron 3 Super was closed not planned on 2026-05-03 with no fix or reproduction on gfx1151; Phase 3 only checks the server is alive after an 8K prefill.</t>
  </si>
  <si>
    <t xml:space="preserve">Add an alive check after a prompt of 20K tokens or more if Nemotron stays as the long-context utility (D-13); long-context use makes it a release blocker, not a warning.</t>
  </si>
  <si>
    <t xml:space="preserve">Open known issue (engines.json known_issue; S6).</t>
  </si>
  <si>
    <t xml:space="preserve">Arsenal CR G11 (L220-224). Roster report L67; Roster gap_closure L437.</t>
  </si>
  <si>
    <t xml:space="preserve">B-33</t>
  </si>
  <si>
    <t xml:space="preserve">Engines and memory (S52)</t>
  </si>
  <si>
    <t xml:space="preserve">To-do cache-ram: set --cache-ram and --ctx-checkpoints explicitly on each chat llama-server.</t>
  </si>
  <si>
    <t xml:space="preserve">Decide at Phase 3 from the measured host RAM. Suggested (INFERRED): --cache-ram = measured context memory rounded up to 256 MiB, at most 8192 MiB; --ctx-checkpoints = slot window / 8192 + 1 (5 for a 32k slot), in engines.json extra_args.</t>
  </si>
  <si>
    <t xml:space="preserve">Defaults allow up to 8192 MiB of prompt cache per server plus up to 32 checkpoints per slot, outside the Arbiter's grants and covered only by the 16 GiB host reserve.</t>
  </si>
  <si>
    <t xml:space="preserve">docs/ATLAS_FRAMEWORK_REVIEW.md Section 23 S52 line 1197; scripts/day1/phase3/loadtest.py lines 2464 to 2520</t>
  </si>
  <si>
    <t xml:space="preserve">B-34</t>
  </si>
  <si>
    <t xml:space="preserve">Watch-list: speculative decoding</t>
  </si>
  <si>
    <t xml:space="preserve">Single-stream speculative decoding (DSpark draft block with exact verification) pays off because Ren and Arthur run one after the other; concurrent serving rejects the drafter and the tuned switches.</t>
  </si>
  <si>
    <t xml:space="preserve">Record on the watch-list and measure draft acceptance at the node's temperature 1.0 in the V4.1 trial before adopting it for any routed engine (D-61).</t>
  </si>
  <si>
    <t xml:space="preserve">No drafter is pulled on Day 1 (engines.json notes for deepseek-v4-flash).</t>
  </si>
  <si>
    <t xml:space="preserve">Lucebox report L130, L378; Lucebox CR section 4 G4 (L146).</t>
  </si>
  <si>
    <t xml:space="preserve">B-35</t>
  </si>
  <si>
    <t xml:space="preserve">Trial engine: ROCm version</t>
  </si>
  <si>
    <t xml:space="preserve">The Lucebox engine was validated on ROCm 7.2.x and nobody has reported it on ROCm 10.x, the line AMD lists for Ubuntu 26.04.1 and the one Phase 4 pins (10.0.0).</t>
  </si>
  <si>
    <t xml:space="preserve">Check before the trial's second stage and pin the ROCm version in the trial image.</t>
  </si>
  <si>
    <t xml:space="preserve">Unknown.</t>
  </si>
  <si>
    <t xml:space="preserve">Lucebox report L329.</t>
  </si>
  <si>
    <t xml:space="preserve">B-36</t>
  </si>
  <si>
    <t xml:space="preserve">Trial engine: ROCm stability</t>
  </si>
  <si>
    <t xml:space="preserve">ROCm on gfx1151 has a mixed record: AMD does not recommend amdgpu-dkms on APUs such as gfx1151 after page-fault reports (ROCm #6186).</t>
  </si>
  <si>
    <t xml:space="preserve">Any LLM container uses the inbox amdgpu driver only, and a risk-register row is added for the trial engine.</t>
  </si>
  <si>
    <t xml:space="preserve">The host already supplies only the inbox kernel driver to Phase 4 containers (Section 3.4); R1 covers PyTorch, not an LLM engine.</t>
  </si>
  <si>
    <t xml:space="preserve">Lucebox report Risks L374; FRAMEWORK_REVIEW 3.4, 20 R1.</t>
  </si>
  <si>
    <t xml:space="preserve">B-37</t>
  </si>
  <si>
    <t xml:space="preserve">Trial engine: pinning</t>
  </si>
  <si>
    <t xml:space="preserve">The Lucebox engine changes fast: 1,984 commits from 83 author names between 2026-04-03 and 2026-10-15.</t>
  </si>
  <si>
    <t xml:space="preserve">Any trial engine pins its source commit, image digest and model file hashes, and its build is never refreshed by itself.</t>
  </si>
  <si>
    <t xml:space="preserve">Phase 4 already pins exact versions; no LLM trial engine is defined.</t>
  </si>
  <si>
    <t xml:space="preserve">Lucebox report L71, Risks L374.</t>
  </si>
  <si>
    <t xml:space="preserve">B-38</t>
  </si>
  <si>
    <t xml:space="preserve">Platform watch-list</t>
  </si>
  <si>
    <t xml:space="preserve">W-DRILL: guided crash and watchdog tests led by the live ATLAS with the Principal present (to-do w-drill).</t>
  </si>
  <si>
    <t xml:space="preserve">Decide after Day 1: agree a session once the Phase 4 gate has passed, on an idle node with the recovery keys at hand. Tests: crash restart (panic=10), watchdog reset (about 2 minutes), timer survival (GRUB hold over 2 minutes) and suspend; results are written back as VERIFIED.</t>
  </si>
  <si>
    <t xml:space="preserve">On the watch-list since 2026-10-11; Phase 1 step 5 raises w-drill. Repeat after a BIOS or firmware update, a kernel-line change, a TPM re-seal or any change to the S48 or S50 settings.</t>
  </si>
  <si>
    <t xml:space="preserve">docs/ATLAS_FRAMEWORK_REVIEW.md Section 3.7 line 213; scripts/day1/phase1/05-postboot.sh line 100</t>
  </si>
  <si>
    <t xml:space="preserve">B-39</t>
  </si>
  <si>
    <t xml:space="preserve">Platform to-dos</t>
  </si>
  <si>
    <t xml:space="preserve">To-do kernel-line, raised only if Phase 1 finds the node off the GA 7.0 line (an OEM kernel, an image outside 7.0, or a held kernel metapackage).</t>
  </si>
  <si>
    <t xml:space="preserve">If raised, move to linux-generic 7.0 (recommended) and re-run phase1 --force 04.</t>
  </si>
  <si>
    <t xml:space="preserve">Conditional; closed automatically when steps 4 or 5 find the GA line.</t>
  </si>
  <si>
    <t xml:space="preserve">scripts/day1/phase1/04-system.sh line 864; scripts/day1/phase1/05-postboot.sh lines 79 to 86</t>
  </si>
  <si>
    <t xml:space="preserve">B-40</t>
  </si>
  <si>
    <t xml:space="preserve">To-do time-sync, raised only if chrony does not synchronise behind the firewall or no time daemon exists.</t>
  </si>
  <si>
    <t xml:space="preserve">If raised, check chrony and its NTS servers through the proxy, then re-run phase1 --force 04.</t>
  </si>
  <si>
    <t xml:space="preserve">Conditional; closed by the step that sees chrony synchronised.</t>
  </si>
  <si>
    <t xml:space="preserve">scripts/day1/phase1/04-system.sh lines 515 and 605</t>
  </si>
  <si>
    <t xml:space="preserve">B-41</t>
  </si>
  <si>
    <t xml:space="preserve">Phase 4 and ROCm</t>
  </si>
  <si>
    <t xml:space="preserve">Move Phase 4 from ROCm 10.0.0 to ROCm 10.1 (the Principal's call, S51).</t>
  </si>
  <si>
    <t xml:space="preserve">Decide after Day 1: re-test 10.1 only after the Phase 4 gate passes on 10.0.0, sooner if V11 fails for a reason the kernel does not explain.</t>
  </si>
  <si>
    <t xml:space="preserve">Pinned to ROCm 10.0.0, torch 2.13.0, torchvision 0.28.0, torchaudio 2.11.0.2; 10.1.0 GA 2026-10-05 comes with torch 2.14.0 on Ryzen; the claim that 10.1 ends the idle CPU spin rests on one gfx1151 report; 10.2 mid-November at the earliest (INFERRED).</t>
  </si>
  <si>
    <t xml:space="preserve">docs/ATLAS_FRAMEWORK_REVIEW.md Section 23 watch-list line 1200 (S51); scripts/day1/README.md Section 6 open risks</t>
  </si>
  <si>
    <t xml:space="preserve">B-42</t>
  </si>
  <si>
    <t xml:space="preserve">If V11 fails on the gfx1151 PyTorch hang (ROCm/legacy-rocm-build #6530), whether to apply HSA_ENABLE_INTERRUPT=0; and GPU_MAX_HW_QUEUES=1 if idle ROCm processes pin the GPU at 100% (TheRock #7578).</t>
  </si>
  <si>
    <t xml:space="preserve">Decide at the Phase 4 gate only if V11 fails for that reason or the busy-GPU symptom appears; neither workaround is applied today.</t>
  </si>
  <si>
    <t xml:space="preserve">Reserved for the Principal (S15, corrected in S51); the Phase 4 driver logs the issue number on a V11 failure; #7578 is UNKNOWN for 10.0.0 clients.</t>
  </si>
  <si>
    <t xml:space="preserve">docs/ATLAS_FRAMEWORK_REVIEW.md Section 23 S15 line 1160 and watch-list line 1200; scripts/day1/README.md Section 6 open risks</t>
  </si>
  <si>
    <t xml:space="preserve">B-43</t>
  </si>
  <si>
    <t xml:space="preserve">Re-run V11 by hand after a kernel ABI change or a GPU firmware update arrives through -security.</t>
  </si>
  <si>
    <t xml:space="preserve">After any such update run sudo ./atlas-day1.sh phase4 --force 01 (reuses the built image), or have the live ATLAS propose it.</t>
  </si>
  <si>
    <t xml:space="preserve">No Day 1 script does this; unattended upgrades change the kernel and GPU driver under the container's ROCm.</t>
  </si>
  <si>
    <t xml:space="preserve">scripts/day1/README.md Section 6 open risks (ROCm 10.1 item)</t>
  </si>
  <si>
    <t xml:space="preserve">B-44</t>
  </si>
  <si>
    <t xml:space="preserve">Settings left to the Principal: lockup panics, CrashAction=reboot, watchdog.stop_on_reboot=0, masking the sleep targets, and loading the driver in the initramfs.</t>
  </si>
  <si>
    <t xml:space="preserve">Leave all off for Day 1; decide masking the sleep targets and initramfs loading from the W-DRILL timer-survival and suspend results.</t>
  </si>
  <si>
    <t xml:space="preserve">Nothing added. Lockup panics could reset the node during a long legitimate I/O or GPU stall; suspend behaviour with the timer armed is UNKNOWN.</t>
  </si>
  <si>
    <t xml:space="preserve">docs/ATLAS_FRAMEWORK_REVIEW.md Section 3.6 and Section 23 S50; scripts/day1/README.md Section 6 open risks</t>
  </si>
  <si>
    <t xml:space="preserve">B-45</t>
  </si>
  <si>
    <t xml:space="preserve">Window-rule choices the build made: the 512-token minimum reply, the reply reserve capped at a quarter of the slot (or 512 tokens), and no 9.4 strike for a refused (413) request.</t>
  </si>
  <si>
    <t xml:space="preserve">Keep as built; revisit after the first real sessions show trims or 413s in the orchestrator journal.</t>
  </si>
  <si>
    <t xml:space="preserve">Reserved for the Principal. The reserve is 4,096 tokens on a 32k slot (8,192 for max_tokens from 8,192 up), 2,048 on the router and 1,024 on Meditron.</t>
  </si>
  <si>
    <t xml:space="preserve">docs/ATLAS_FRAMEWORK_REVIEW.md Section 23 S52 line 1197 and watch-list line 1200; scripts/day1/README.md Section 6 open risks</t>
  </si>
  <si>
    <t xml:space="preserve">B-46</t>
  </si>
  <si>
    <t xml:space="preserve">Pruning and memory (S53)</t>
  </si>
  <si>
    <t xml:space="preserve">Measurement layer: a permanent usage table of the ids each chat task retrieved, a prune_runs table with live counts before and after each sweep and archive bytes, the graph result separated from the vector result, and a quiet weekly ntfy summary with the two-failures-in-a-row rule.</t>
  </si>
  <si>
    <t xml:space="preserve">Build after Day 1, once the live ATLAS is in daily use.</t>
  </si>
  <si>
    <t xml:space="preserve">Phased, not built (approved 2026-10-12); expect thin usage numbers for a long time.</t>
  </si>
  <si>
    <t xml:space="preserve">docs/ATLAS_FRAMEWORK_REVIEW.md Section 23 S53 line 1198; scripts/day1/README.md Section 6 open risks (pruning)</t>
  </si>
  <si>
    <t xml:space="preserve">B-47</t>
  </si>
  <si>
    <t xml:space="preserve">Wire Ledger.purge_expired into the prune sweep with the cold archive as its callback (closes R26).</t>
  </si>
  <si>
    <t xml:space="preserve">Build it first within the measurement layer, since the ledger grows without bound until it runs.</t>
  </si>
  <si>
    <t xml:space="preserve">Written with no caller; R26 acknowledged 2026-10-13. Operational tables (30 days) and sentinel_pulses (365 days) keep growing.</t>
  </si>
  <si>
    <t xml:space="preserve">docs/ATLAS_FRAMEWORK_REVIEW.md Section 23 S53 line 1198; R26 line 1046</t>
  </si>
  <si>
    <t xml:space="preserve">B-48</t>
  </si>
  <si>
    <t xml:space="preserve">W-RETAIN: an approval-gated proposal mechanism for retention changes (16.2).</t>
  </si>
  <si>
    <t xml:space="preserve">Build only when three things hold: 90 days of usage data, three consistent sweeps and a real tuning question; it then needs a configuration-proposal approval kind with a recording Sender, submission as Ren or Arthur, and a cooldown read from the strikes table.</t>
  </si>
  <si>
    <t xml:space="preserve">Considered, not adopted; fully automatic adjustment is excluded by 16.3 item 6.</t>
  </si>
  <si>
    <t xml:space="preserve">docs/ATLAS_FRAMEWORK_REVIEW.md Section 23 S53 line 1198 and watch-list line 1200</t>
  </si>
  <si>
    <t xml:space="preserve">B-49</t>
  </si>
  <si>
    <t xml:space="preserve">Restore command for pruned notes (re-embed id, text and metadata from the dated archive).</t>
  </si>
  <si>
    <t xml:space="preserve">Build only when the Principal first asks for a pruned note back; chat turns are never recoverable (D9).</t>
  </si>
  <si>
    <t xml:space="preserve">Not built; the graph archive now carries the text (S53 fix c), so graph notes are restorable once the command exists.</t>
  </si>
  <si>
    <t xml:space="preserve">docs/ATLAS_FRAMEWORK_REVIEW.md Section 23 S53 line 1198</t>
  </si>
  <si>
    <t xml:space="preserve">B-50</t>
  </si>
  <si>
    <t xml:space="preserve">W-CHROMA-REBUILD: rebuild a Chroma collection from its live documents.</t>
  </si>
  <si>
    <t xml:space="preserve">Review at most yearly; rebuild when a collection's inserted-ever to live ratio warrants it.</t>
  </si>
  <si>
    <t xml:space="preserve">Pinned Chroma 1.5.9 only soft-deletes; index capacity tracks every insert and never shrinks (R27).</t>
  </si>
  <si>
    <t xml:space="preserve">docs/ATLAS_FRAMEWORK_REVIEW.md Section 23 S53 line 1198 and watch-list line 1200; R27 line 1047</t>
  </si>
  <si>
    <t xml:space="preserve">B-51</t>
  </si>
  <si>
    <t xml:space="preserve">Voice</t>
  </si>
  <si>
    <t xml:space="preserve">Resolve the British-male preset collision (Arthur, Victor and Gideon all pull toward bm_george, bm_daniel and bm_lewis) at the V7 listening test.</t>
  </si>
  <si>
    <t xml:space="preserve">At the Phase 2 gate listen, spread the three apart, or move Gideon to a Chatterbox clone as Alaric is.</t>
  </si>
  <si>
    <t xml:space="preserve">Nobody has heard the presets against the descriptions yet; known conflict recorded.</t>
  </si>
  <si>
    <t xml:space="preserve">docs/ATLAS_FRAMEWORK_REVIEW.md Section 14.3; Section 21 V7 line 1071</t>
  </si>
  <si>
    <t xml:space="preserve">B-52</t>
  </si>
  <si>
    <t xml:space="preserve">Security and access</t>
  </si>
  <si>
    <t xml:space="preserve">Watch for a 26.04 security update for xrdp (R24) and any Cockpit security advisory.</t>
  </si>
  <si>
    <t xml:space="preserve">Apply when published; meanwhile take the optional rdp-restrict hardening.</t>
  </si>
  <si>
    <t xml:space="preserve">xrdp 0.10.1 in universe; eighteen 2026 CVEs still needs-triage for 26.04 and no esm-apps fix; hardened to Xorg-only, TLS, no root login (v0.3.4).</t>
  </si>
  <si>
    <t xml:space="preserve">docs/ATLAS_FRAMEWORK_REVIEW.md R24 line 1044; Section 23 watch-list line 1200</t>
  </si>
  <si>
    <t xml:space="preserve">B-53</t>
  </si>
  <si>
    <t xml:space="preserve">R22: the atlas service user is in the docker group (root-equivalent).</t>
  </si>
  <si>
    <t xml:space="preserve">After Day 1, choose rootless Docker or a socket proxy that allows only the sandbox and engine images.</t>
  </si>
  <si>
    <t xml:space="preserve">Accepted for Day 1 (acknowledged 2026-10-08); Day 2 options recorded.</t>
  </si>
  <si>
    <t xml:space="preserve">docs/ATLAS_FRAMEWORK_REVIEW.md R22 line 1042</t>
  </si>
  <si>
    <t xml:space="preserve">B-54</t>
  </si>
  <si>
    <t xml:space="preserve">R25: unattended upgrades never reboot and skip Docker CE and Google Chrome.</t>
  </si>
  <si>
    <t xml:space="preserve">After Day 1, have the live ATLAS report 'reboot required' and pending Docker CE and Chrome updates through ntfy and schedule the reboot with the Principal.</t>
  </si>
  <si>
    <t xml:space="preserve">Accepted for Day 1 (acknowledged 2026-10-08).</t>
  </si>
  <si>
    <t xml:space="preserve">docs/ATLAS_FRAMEWORK_REVIEW.md R25 line 1045</t>
  </si>
  <si>
    <t xml:space="preserve">B-55</t>
  </si>
  <si>
    <t xml:space="preserve">Integrations (Day 2)</t>
  </si>
  <si>
    <t xml:space="preserve">Windows PC share (WINDOWS_SHARE and /etc/atlas/secrets/smb.cred; to-dos input-windows-share, input-smb-cred).</t>
  </si>
  <si>
    <t xml:space="preserve">Take up with the live ATLAS after Day 1: set WINDOWS_SHARE, create smb.cred (root 600), run phase2 --force 09.</t>
  </si>
  <si>
    <t xml:space="preserve">Deferred by the Principal 2026-10-05; Phase 2 step 9 is skipped.</t>
  </si>
  <si>
    <t xml:space="preserve">docs/ATLAS_FRAMEWORK_REVIEW.md Section 12.4; scripts/day1/lib/common.sh lines 1018 to 1022; scripts/day1/phase2/02-orchestrator.sh line 191</t>
  </si>
  <si>
    <t xml:space="preserve">B-56</t>
  </si>
  <si>
    <t xml:space="preserve">Xero, Cloudflare, Wix, Pay.com and RewardPay connectors and the real outbound send channels behind the approval gate.</t>
  </si>
  <si>
    <t xml:space="preserve">Plan after Day 1; until then an approved item reports 'no send channel configured'.</t>
  </si>
  <si>
    <t xml:space="preserve">Day 2 work (S26); V15 proves the gate only against a stub sender.</t>
  </si>
  <si>
    <t xml:space="preserve">docs/ATLAS_FRAMEWORK_REVIEW.md Section 13 line 724; Section 23 S26 line 1171</t>
  </si>
  <si>
    <t xml:space="preserve">B-57</t>
  </si>
  <si>
    <t xml:space="preserve">TLS front on the WireGuard address so Open WebUI installs as a home-screen app.</t>
  </si>
  <si>
    <t xml:space="preserve">Add after Day 1.</t>
  </si>
  <si>
    <t xml:space="preserve">Day 2 addition; Day 1 serves plain HTTP on LAN and WireGuard (S27).</t>
  </si>
  <si>
    <t xml:space="preserve">docs/ATLAS_FRAMEWORK_REVIEW.md Section 12.1; Section 23 S27 line 1172</t>
  </si>
  <si>
    <t xml:space="preserve">B-58</t>
  </si>
  <si>
    <t xml:space="preserve">Operations</t>
  </si>
  <si>
    <t xml:space="preserve">Quarterly restic restore test (R16).</t>
  </si>
  <si>
    <t xml:space="preserve">Schedule it after Day 1, led by the live ATLAS.</t>
  </si>
  <si>
    <t xml:space="preserve">Day 1 runs only the first restore test (V13); the quarterly test is the R16 mitigation.</t>
  </si>
  <si>
    <t xml:space="preserve">docs/ATLAS_FRAMEWORK_REVIEW.md R16 line 1055; Section 21 V13</t>
  </si>
  <si>
    <t xml:space="preserve">B-59</t>
  </si>
  <si>
    <t xml:space="preserve">Tune the Deep Think rubric weights and the Ouroboros similarity threshold.</t>
  </si>
  <si>
    <t xml:space="preserve">Tune after the first real sessions, with the engines the arsenal decision fixes; Section 9.1's timings are estimates until then.</t>
  </si>
  <si>
    <t xml:space="preserve">Untuned.</t>
  </si>
  <si>
    <t xml:space="preserve">docs/ATLAS_FRAMEWORK_REVIEW.md Section 21 scope notes line 1090</t>
  </si>
  <si>
    <t xml:space="preserve">B-60</t>
  </si>
  <si>
    <t xml:space="preserve">Research record</t>
  </si>
  <si>
    <t xml:space="preserve">named_120b_class_and_uncensored.md is truncated (KQ2-KQ5 never written).</t>
  </si>
  <si>
    <t xml:space="preserve">No action for the decisions: its verification file and the completeness review Section 2 supply the inputs.</t>
  </si>
  <si>
    <t xml:space="preserve">Open in the research notes.</t>
  </si>
  <si>
    <t xml:space="preserve">Arsenal CR open gap 8 (L281).</t>
  </si>
  <si>
    <t xml:space="preserve">B-61</t>
  </si>
  <si>
    <t xml:space="preserve">Engine watch-list</t>
  </si>
  <si>
    <t xml:space="preserve">Section 15.5 does not record GLM Legal (API beta only, 86.23% Vals LegalBench), Mistral Large 4 (about 1.05T; Vals lists it as open-weight, released 2026-10-06, but no mistralai weights repository exists as of 2026-10-15) or Nemotron 4 (in training). DeepSeek V4.1 runtimes are a separate row.</t>
  </si>
  <si>
    <t xml:space="preserve">Add each with the event that would bring it in.</t>
  </si>
  <si>
    <t xml:space="preserve">Not recorded.</t>
  </si>
  <si>
    <t xml:space="preserve">Roster report L9, L13, L94; Roster gap_closure L348.</t>
  </si>
  <si>
    <t xml:space="preserve">B-62</t>
  </si>
  <si>
    <t xml:space="preserve">Watch-list: expert placement</t>
  </si>
  <si>
    <t xml:space="preserve">Usage-ranked expert placement: the most-called experts sit in the fastest memory, ranked by a routing profile measured on the box.</t>
  </si>
  <si>
    <t xml:space="preserve">Record on the watch-list as the design to follow if the node ever adds a discrete GPU; llama.cpp's -ot tensor overrides are its manual form.</t>
  </si>
  <si>
    <t xml:space="preserve">Not recorded; the node has no discrete GPU and D-62 recommends none now.</t>
  </si>
  <si>
    <t xml:space="preserve">Lucebox report L378, Inputs row 9 (L400).</t>
  </si>
  <si>
    <t xml:space="preserve">B-63</t>
  </si>
  <si>
    <t xml:space="preserve">Watch-list: memory guard</t>
  </si>
  <si>
    <t xml:space="preserve">Lucebox Manage's memory guard stops the program filling memory before the box can freeze.</t>
  </si>
  <si>
    <t xml:space="preserve">Record on the watch-list and compare it with the Arbiter at the next revision rather than adding a second guard now.</t>
  </si>
  <si>
    <t xml:space="preserve">Partly covered: the Arbiter keeps a fixed 16 GiB host reserve (Section 4.1, S44), which the report says this mirrors.</t>
  </si>
  <si>
    <t xml:space="preserve">Lucebox report L378; Lucebox CR section 4 G1 (L125).</t>
  </si>
  <si>
    <t xml:space="preserve">B-64</t>
  </si>
  <si>
    <t xml:space="preserve">Watch-list: signed manifests</t>
  </si>
  <si>
    <t xml:space="preserve">Signed release manifests that expire after 120 days (Lucebox signs releases with Ed25519).</t>
  </si>
  <si>
    <t xml:space="preserve">Record on the watch-list as a cheap discipline for the node's own pinned images; it implies no updater and no outbound check.</t>
  </si>
  <si>
    <t xml:space="preserve">Not recorded; Phase 4 pins exact versions and builds once, with no expiry.</t>
  </si>
  <si>
    <t xml:space="preserve">Lucebox report L102, L378; Lucebox CR section 4 G9 (L162).</t>
  </si>
  <si>
    <t xml:space="preserve">B-65</t>
  </si>
  <si>
    <t xml:space="preserve">Watch-list: session-log retrieval</t>
  </si>
  <si>
    <t xml:space="preserve">Lucebox 'Learning' without the marketing: retrieval of relevant past work from local agent session logs into the prompt, not training (LoRA adapters are 'Coming soon').</t>
  </si>
  <si>
    <t xml:space="preserve">Record on the watch-list as a candidate source for the node's existing retrieval stack (Sections 10.1 and 10.2).</t>
  </si>
  <si>
    <t xml:space="preserve">Lucebox report L104, L378; Lucebox CR section 4 G1 (L119-122).</t>
  </si>
  <si>
    <t xml:space="preserve">B-66</t>
  </si>
  <si>
    <t xml:space="preserve">Watch-list: V4.1 runtimes</t>
  </si>
  <si>
    <t xml:space="preserve">Mainline llama.cpp cannot run V4.1 (no deepseek41 at v0.4.1, v0.5.0 or master; PR #28696 open, CPU and CUDA only, cap near 16K context, no backend kernels); ik_llama.cpp merged V4.1 on 2026-09-21 (PR 2455), CPU and CUDA only.</t>
  </si>
  <si>
    <t xml:space="preserve">Watch only; re-check when #28696 merges with Vulkan or HIP kernels (its Q2_K needs 186.17 GiB resident and would spill 30.2 GiB to SSD); ik_llama.cpp would be an unmeasured CPU path.</t>
  </si>
  <si>
    <t xml:space="preserve">Open upstream as of 2026-10-15; not in Section 15.5.</t>
  </si>
  <si>
    <t xml:space="preserve">Lucebox report L329, path D (L359); Lucebox CR section 4 G11 (L166-170). Roster report L9; Roster gap_closure L383.</t>
  </si>
  <si>
    <t xml:space="preserve">B-67</t>
  </si>
  <si>
    <t xml:space="preserve">Watch-list: discrete GPU in a dock</t>
  </si>
  <si>
    <t xml:space="preserve">No published measurement exists of an R9700 or any 32 GB card in a USB4 v2 dock; the cookbook says 'Not measured'.</t>
  </si>
  <si>
    <t xml:space="preserve">Watch for one before reconsidering D-62 (b); its hard requirements are thunderbolt.host_reset=false, the dock powered before boot and amdgpu.runpm=0, or the card returns with a 256 MB window and no iGPU peer access.</t>
  </si>
  <si>
    <t xml:space="preserve">Open; a Thunderbolt 5 dock moved 3.8 GB/s each way against 6.4 GB/s in a Gen4 x4 slot, about 2% of V4.1 step time (computed).</t>
  </si>
  <si>
    <t xml:space="preserve">Lucebox report L323-L325.</t>
  </si>
  <si>
    <t xml:space="preserve">B-68</t>
  </si>
  <si>
    <t xml:space="preserve">Lucebox unknowns</t>
  </si>
  <si>
    <t xml:space="preserve">Still unknown: Lucebox's optional cloud fallback, how Manage's crash Report sends logs, what happens when a 120-day manifest expires, the Zero 495's BIOS, OS, ROCm and PCIe link generation, and the unpublished 192 GB placement file and load time.</t>
  </si>
  <si>
    <t xml:space="preserve">Re-check only if D-62 or D-63 reopens; none blocks the trial.</t>
  </si>
  <si>
    <t xml:space="preserve">Open; earlier site versions unreadable (Wayback blocked on 2026-10-15).</t>
  </si>
  <si>
    <t xml:space="preserve">Lucebox CR section 8 (L247-254); Lucebox report L201.</t>
  </si>
  <si>
    <t xml:space="preserve">B-69</t>
  </si>
  <si>
    <t xml:space="preserve">Network</t>
  </si>
  <si>
    <t xml:space="preserve">Confirm or strike the four outbound allowlist additions the build made (S29): dl.fbaipublicfiles.com, openaipublic.blob.core.windows.net, playwright.azureedge.net and cdn.playwright.dev.</t>
  </si>
  <si>
    <t xml:space="preserve">Confirm all four. Striking one defers its engine or tool; striking openaipublic means dropping cl100k_base.tiktoken into /srv/atlas/staging/inbox/ by hand for LightRAG.</t>
  </si>
  <si>
    <t xml:space="preserve">Added under the build-mirror clause of 12.5; the Principal may strike any, and the Phase 2 step 4 comment still calls the tokenizer host pending the Principal's row.</t>
  </si>
  <si>
    <t xml:space="preserve">docs/ATLAS_FRAMEWORK_REVIEW.md Section 23 S29 line 1174; scripts/day1/phase2/04-memory.sh lines 30 to 36; scripts/day1/README.md Section 1 table</t>
  </si>
  <si>
    <t xml:space="preserve">B-70</t>
  </si>
  <si>
    <t xml:space="preserve">W-NPU: the XDNA 2 NPU of the PRO 495.</t>
  </si>
  <si>
    <t xml:space="preserve">Keep on watch, no action. Revisit only if FastFlowLM or Lemonade lists Gorgon Halo on Ubuntu 26.04 with a settled licence and an NPU build of a model ATLAS uses, or step 5's record shows amdxdna errors.</t>
  </si>
  <si>
    <t xml:space="preserve">Considered, not adopted (reviewed 2026-10-09); the NPU shares the same 192 GB and bandwidth, so it frees nothing; step 5 records what it shows.</t>
  </si>
  <si>
    <t xml:space="preserve">docs/ATLAS_FRAMEWORK_REVIEW.md Section 3.7 line 210; S46</t>
  </si>
  <si>
    <t xml:space="preserve">B-71</t>
  </si>
  <si>
    <t xml:space="preserve">W-PERFOPT: AMD IOMMU PerfOpt for integrated GPUs (Linux 7.4).</t>
  </si>
  <si>
    <t xml:space="preserve">Keep on watch. Reconsider only if it reaches the 26.04 GA kernel by SRU, or independent llama.cpp Vulkan benchmarks on Strix or Gorgon Halo show at least 10% with the DMA trade-off reviewed.</t>
  </si>
  <si>
    <t xml:space="preserve">Not in kernel 7.0; reported gains of 2 to 4% typical (18 to 23% in one report) at the cost of the IOMMU's containment of GPU memory access.</t>
  </si>
  <si>
    <t xml:space="preserve">docs/ATLAS_FRAMEWORK_REVIEW.md Section 3.7 line 211</t>
  </si>
  <si>
    <t xml:space="preserve">B-72</t>
  </si>
  <si>
    <t xml:space="preserve">W-KERNEL: newer kernel lines (HWE 7.3 with 26.04.2, milestone 2027-02-18; first 7.4-based stock kernel around August 2027).</t>
  </si>
  <si>
    <t xml:space="preserve">Hold the GA 7.0 line. A change of line is a deliberate decision, with V3a, V11, V22, W-NPU and W-PERFOPT re-tested together.</t>
  </si>
  <si>
    <t xml:space="preserve">Day 1 holds the node on GA (S45); standard support to May 2031.</t>
  </si>
  <si>
    <t xml:space="preserve">docs/ATLAS_FRAMEWORK_REVIEW.md Section 3.7 line 212; S45</t>
  </si>
  <si>
    <t xml:space="preserve">B-73</t>
  </si>
  <si>
    <t xml:space="preserve">Watchdog timeout: 2 minutes as built, or 60 seconds.</t>
  </si>
  <si>
    <t xml:space="preserve">Keep 2 minutes: 30-second timeouts reset recoverable Strix Halo machines in the field, and this node has no swap and loads up to about 160 GiB.</t>
  </si>
  <si>
    <t xml:space="preserve">RuntimeWatchdogSec=2min and RebootWatchdogSec=10min are written; the value is a judgement (INFERRED). Open for the Principal.</t>
  </si>
  <si>
    <t xml:space="preserve">docs/ATLAS_FRAMEWORK_REVIEW.md Section 3.6; Section 23 S50 line 1195</t>
  </si>
  <si>
    <t xml:space="preserve">B-74</t>
  </si>
  <si>
    <t xml:space="preserve">Options recorded, not adopted: --swa-full on the gpt-oss engines, --kv-unified on Qwen3.5-122B, and a smaller context on any engine.</t>
  </si>
  <si>
    <t xml:space="preserve">Keep them unadopted; revisit only for engines that stay in the arsenal. --swa-full costs about 2.35 GiB per gpt-oss engine and only restores context shift; --kv-unified saves no memory.</t>
  </si>
  <si>
    <t xml:space="preserve">The Principal's call; may be moot if the arsenal replaces gpt-oss-120b and Qwen3.5-122B.</t>
  </si>
  <si>
    <t xml:space="preserve">B-75</t>
  </si>
  <si>
    <t xml:space="preserve">llama-server log level --verbosity 4 on every chat engine.</t>
  </si>
  <si>
    <t xml:space="preserve">Keep: V4's proof line and the S52 memory records are TRACE lines that the pinned build logs only at level 4.</t>
  </si>
  <si>
    <t xml:space="preserve">Set by the build as a log-level-only change; reserved for the Principal.</t>
  </si>
  <si>
    <t xml:space="preserve">docs/ATLAS_FRAMEWORK_REVIEW.md Section 23 watch-list line 1200; S52</t>
  </si>
  <si>
    <t xml:space="preserve">B-76</t>
  </si>
  <si>
    <t xml:space="preserve">Order of the prune failure path (ledger row first, then the ntfy push) and whether a clean sweep or a spooled graph deletion should ever notify.</t>
  </si>
  <si>
    <t xml:space="preserve">Keep ledger-then-push (the vault-breach precedent) and no push on a clean sweep; the weekly summary covers routine runs.</t>
  </si>
  <si>
    <t xml:space="preserve">Reserved for the Principal; whether the ntfy server accepts the push is UNKNOWN until the node runs.</t>
  </si>
  <si>
    <t xml:space="preserve">B-77</t>
  </si>
  <si>
    <t xml:space="preserve">Watch-list models</t>
  </si>
  <si>
    <t xml:space="preserve">Qwen3.8-LiveTranslate (19 Sep 2026): real-time interpretation, 60 languages understood, 29 spoken.</t>
  </si>
  <si>
    <t xml:space="preserve">Keep on watch; adopt only on an open-weights release.</t>
  </si>
  <si>
    <t xml:space="preserve">Hosted API only, fails the zero-cloud rule; live interpretation stays an open gap (consecutive translation only, in Kokoro's eight languages).</t>
  </si>
  <si>
    <t xml:space="preserve">docs/ATLAS_FRAMEWORK_REVIEW.md Section 15.5 line 848</t>
  </si>
  <si>
    <t xml:space="preserve">B-78</t>
  </si>
  <si>
    <t xml:space="preserve">Qwen-Image-2.1 (20 Sep 2026): image generation and editing in one 7B checkpoint.</t>
  </si>
  <si>
    <t xml:space="preserve">Keep FLUX.1-dev (decided 2026-09-21 on quality); reconsider on Apache-2.0 re-licensing or a commercial licence.</t>
  </si>
  <si>
    <t xml:space="preserve">Qwen Research License, non-commercial; about 14 GB BF16, half FLUX.1-dev's footprint.</t>
  </si>
  <si>
    <t xml:space="preserve">docs/ATLAS_FRAMEWORK_REVIEW.md Section 15.5 line 850</t>
  </si>
  <si>
    <t xml:space="preserve">B-79</t>
  </si>
  <si>
    <t xml:space="preserve">To-do rdp-restrict: limit Remote Desktop on the LAN to the Windows PC's address.</t>
  </si>
  <si>
    <t xml:space="preserve">Optional: after the first LAN Remote Desktop test, reserve the PC's address in the router, set RDP_ALLOW_FROM and run the two ufw commands the to-do gives.</t>
  </si>
  <si>
    <t xml:space="preserve">Raised by step 5b after a successful LAN test; until then the whole LAN subnet may reach port 3389.</t>
  </si>
  <si>
    <t xml:space="preserve">scripts/day1/phase1/05b-desktop.sh line 144; scripts/day1/README.md Section 1 table</t>
  </si>
  <si>
    <t xml:space="preserve">B-80</t>
  </si>
  <si>
    <t xml:space="preserve">R10: external cooling the Principal is adding for sustained load.</t>
  </si>
  <si>
    <t xml:space="preserve">Optional: confirm it is in place before Phase 3's long load tests; monitor temperatures in Cockpit.</t>
  </si>
  <si>
    <t xml:space="preserve">Named in the risk register, not confirmed in the checklist; the chip's configurable ceiling is 120 W.</t>
  </si>
  <si>
    <t xml:space="preserve">docs/ATLAS_FRAMEWORK_REVIEW.md R10 line 1049</t>
  </si>
  <si>
    <t xml:space="preserve">Node tests</t>
  </si>
  <si>
    <t xml:space="preserve">Measurements and trials on the node that settle open decisions. Approve to add each to the Phase 3 test plan.</t>
  </si>
  <si>
    <t xml:space="preserve">Test or trial</t>
  </si>
  <si>
    <t xml:space="preserve">What it settles</t>
  </si>
  <si>
    <t xml:space="preserve">When</t>
  </si>
  <si>
    <t xml:space="preserve">V3 / V3a / V3b on kernel 7.0: the GTT pool and Vulkan device memory llama.cpp actually sees for the 192 GiB request (about 176-189 GiB, or the vendor's 160 GB / 149.01 GiB cap), checked against the largest approved engine plus its KV.</t>
  </si>
  <si>
    <t xml:space="preserve">D-36 (kernel line and V3b floor); whether any rung above about 149 GiB is viable (V4 UD-Q8_K_XL, 5-bit 235B-class, Flash-Next Q6, MiMo MXFP4).</t>
  </si>
  <si>
    <t xml:space="preserve">Day 1, Phase 1 step 5 and the Phase 2 gate (V3, V3a, V3b)</t>
  </si>
  <si>
    <t xml:space="preserve">Arsenal report gaps L90; Arsenal CR C18 (L247). Roster report L114; Roster gap_closure L359.</t>
  </si>
  <si>
    <t xml:space="preserve">Output parity: the same prompts on v0.4.1 and the re-pin, with -fa on and off, for every engine that loads on both (gpt-oss-120b, Nemotron, DeepSeek-V4-Flash, Qwen3.8-Flash-Next, the at-pin Q5_K_S 235B-class engines, Qwen3-Coder-Next and the router); Flash-Next is the named case, because the #29751 qwen4exp attention fix is post-pin and the review asks for the pinned Flash-Next output to be parity-checked, scored with llama-perplexity --kl-divergence and a deterministic task set.</t>
  </si>
  <si>
    <t xml:space="preserve">D-01 and exposure to the non-FA KV-view bug fixed in #28956; the -fa setting in Appendix B; GLM --kv-unified coherence for D-48.</t>
  </si>
  <si>
    <t xml:space="preserve">Before the re-pin is adopted (Phase 3)</t>
  </si>
  <si>
    <t xml:space="preserve">Arsenal report Inputs L97, gaps L90; Arsenal CR G1 (L64). Structure review (pin parity step).</t>
  </si>
  <si>
    <t xml:space="preserve">T-03</t>
  </si>
  <si>
    <t xml:space="preserve">KLD run: llama-perplexity --kl-divergence-base on a native reference (UD-Q8_K_XL, or BF16 where it fits) over Wikitext-2 plus a domain corpus, then --kl-divergence for each candidate file and KV type (GLM UD-IQ4_XS, V4-Flash UD-Q8_K_XL, Flash-Next UD-Q6_K_XL, the Q5_K_S 235B-class rungs, Nemotron Q8_0, Coder-Next, the abliterated GGUFs), plus changed answers on a small deterministic set.</t>
  </si>
  <si>
    <t xml:space="preserve">D-02, D-11, D-16, D-28, D-29 and the uncensored choices (D-07, D-08).</t>
  </si>
  <si>
    <t xml:space="preserve">Phase 3, after the re-pin. GLM's Q8_0 reference (317 GiB) exceeds memory, so its check is a task delta against published full-precision scores or streamed base logits.</t>
  </si>
  <si>
    <t xml:space="preserve">Arsenal report quantisation L72, gaps L90, conclusion L107. Roster report L114; Roster gap_closure L352.</t>
  </si>
  <si>
    <t xml:space="preserve">T-04</t>
  </si>
  <si>
    <t xml:space="preserve">GLM-5.3-Flash after the re-pin: whether its hyper-connection op runs on the GPU or falls back to the CPU on Vulkan, whether -fa off is still required, multi-slot use with --kv-unified, the DSA indexer KV in practice, and decode at 32K and 128K (15.0 tok/s at 32K on the Gorgon build; about 6 by 128K in review; 17.4 at 3.84 bpw on a PRO 495).</t>
  </si>
  <si>
    <t xml:space="preserve">The conditions on GLM (D-02); D-48; GLM's KV type in D-29.</t>
  </si>
  <si>
    <t xml:space="preserve">Phase 3, after the re-pin</t>
  </si>
  <si>
    <t xml:space="preserve">Roster report L56, L86; Roster gap_closure L385, L467. Arsenal report gaps L90; Arsenal CR G2.</t>
  </si>
  <si>
    <t xml:space="preserve">T-05</t>
  </si>
  <si>
    <t xml:space="preserve">Load, decode, prefill, context memory and compute buffers of every approved engine on the PRO 495 at the chosen pin, against the Arbiter's projections (to-do kv-estimates) and the projected bands; includes gpt-oss-120b against 53.8-55.6 tok/s measured on 128 GB boxes, Nemotron without MTP at the pin, and Qwen3.5-122B MTP only if D-21 keeps it.</t>
  </si>
  <si>
    <t xml:space="preserve">D-10, D-29, D-31, D-33, D-48; the V10 bands; the Arbiter KV-projection baseline item.</t>
  </si>
  <si>
    <t xml:space="preserve">Phase 3 steps 2 to 4</t>
  </si>
  <si>
    <t xml:space="preserve">Arsenal report gaps L90; Arsenal CR G2, open gap 1. Roster gap_closure L355, L357, L359.</t>
  </si>
  <si>
    <t xml:space="preserve">T-06</t>
  </si>
  <si>
    <t xml:space="preserve">DeepSeek-V4-Flash-0731 on mainline Vulkan: first load, then decode and prefill at UD-Q4_K_XL and UD-Q8_K_XL at 16K-32K with f16 and q8_0 caches, with and without --spec-type draft-dspark; whether UD-Q8_K_XL leaves a usable context inside ~164 GiB, and decode against about 7 (Q8) and 11 (Q4) tok/s projected.</t>
  </si>
  <si>
    <t xml:space="preserve">D-11 (rung), D-29 (Apex ladder), D-33 and D-47 (band and floor), D-61 (DSpark).</t>
  </si>
  <si>
    <t xml:space="preserve">Day 1, Phase 3 (V10, V22)</t>
  </si>
  <si>
    <t xml:space="preserve">Roster report L54, L114; Roster gap_closure L354. Lucebox report Inputs row 1 (L392), path 0 (L355).</t>
  </si>
  <si>
    <t xml:space="preserve">T-07</t>
  </si>
  <si>
    <t xml:space="preserve">Qwen3.8-Flash-Next UD-Q6_K_XL decode against the 23-29 tok/s projection (no UD-Q6_K_XL measurement exists: 26.9 tok/s without MTP and 41.3 with MTP on fork builds were both at UD-IQ4_XS on 128 GB Ryzen AI Max+ 395 boxes; a GMKtec buyer reported 15 tok/s on this machine, build, quant source and context unknown).</t>
  </si>
  <si>
    <t xml:space="preserve">Flash-Next's role as challenger and third opinion; whether its post-pin Vulkan fixes are needed (D-01, D-28).</t>
  </si>
  <si>
    <t xml:space="preserve">Phase 3</t>
  </si>
  <si>
    <t xml:space="preserve">Arsenal report gaps L90; Arsenal CR C20 (L249). Roster report Addendum L136.</t>
  </si>
  <si>
    <t xml:space="preserve">T-08</t>
  </si>
  <si>
    <t xml:space="preserve">Already answered by the arsenal research: the ggml-org Qwen3.8-Flash-Next Q8_0 (162.62 GB) stores per_layer_token_embd (the n-gram table) at Q4_0 (28.80 GB) and every other matrix at Q8_0, which explains the 25.6 GB gap to unsloth's 188.23 GB. What remains is its KLD against UD-Q6_K_XL (fold into T-03).</t>
  </si>
  <si>
    <t xml:space="preserve">D-28.</t>
  </si>
  <si>
    <t xml:space="preserve">Before any Flash-Next pull</t>
  </si>
  <si>
    <t xml:space="preserve">verification_named_heavyweight_moe row 19 (GGUF header parse 2026-10-15); verification_quantization_value row 14. Roster report Addendum L128; Roster gap_closure L365.</t>
  </si>
  <si>
    <t xml:space="preserve">T-09</t>
  </si>
  <si>
    <t xml:space="preserve">MiMo-V2.6-Flash uncensored MXFP4 load and generation at v0.4.1 (mimo2 arch in the pin, converter later) and at the re-pin.</t>
  </si>
  <si>
    <t xml:space="preserve">Whether Valerie's default (D-07) needs the re-pin; the roster/arsenal contradiction on MiMo support.</t>
  </si>
  <si>
    <t xml:space="preserve">Arsenal CR C6 (L235), G4. Roster gap_closure L378, L463.</t>
  </si>
  <si>
    <t xml:space="preserve">T-10</t>
  </si>
  <si>
    <t xml:space="preserve">Refusal rate, KLD and a small capability set on the Principal's prompts: MiMo uncensored and gpt-oss Derestricted against their bases; abliterated Qwen3.5-122B Q8_0 against base Q8_0 if considered; the current noctrex file against base gpt-oss-120b only if D-09 keeps it; a mtp.layers check on any Nemotron Heretic GGUF.</t>
  </si>
  <si>
    <t xml:space="preserve">D-07, D-08, D-09, D-58.</t>
  </si>
  <si>
    <t xml:space="preserve">Phase 3 or after Day 1</t>
  </si>
  <si>
    <t xml:space="preserve">Arsenal report uncensored L82, gaps L90; Arsenal CR open gap 3. Roster report L110; Roster gap_closure L349, L361.</t>
  </si>
  <si>
    <t xml:space="preserve">T-11</t>
  </si>
  <si>
    <t xml:space="preserve">Baichuan-M3-235B: load at the pin (official Q4_K_M and mradermacher Q5_K_S) and a HealthBench subset with a fixed judge against gpt-oss-120b and GLM-5.3-Flash.</t>
  </si>
  <si>
    <t xml:space="preserve">D-15 and the rung in D-16; Baichuan-M3 has no independent score.</t>
  </si>
  <si>
    <t xml:space="preserve">Phase 3, before adoption</t>
  </si>
  <si>
    <t xml:space="preserve">Roster gap_closure L350. Arsenal report Minerva row L23.</t>
  </si>
  <si>
    <t xml:space="preserve">T-12</t>
  </si>
  <si>
    <t xml:space="preserve">Nemotron 3 Super Q8_0 (128.47 GB) stability with a prompt of 20K tokens or more and a server health check (#20732).</t>
  </si>
  <si>
    <t xml:space="preserve">D-13 (long-context utility); the Nemotron #20732 baseline item.</t>
  </si>
  <si>
    <t xml:space="preserve">Arsenal CR G11 (L220-224). Roster gap_closure L356, L437.</t>
  </si>
  <si>
    <t xml:space="preserve">Slot save/restore per architecture at the pin: save a 32K slot, unload, reload, restore, and confirm the continuation and the restore time.</t>
  </si>
  <si>
    <t xml:space="preserve">D-44.</t>
  </si>
  <si>
    <t xml:space="preserve">Arsenal report sequential L76.</t>
  </si>
  <si>
    <t xml:space="preserve">Swap cost per large engine through LUKS (stop, cold read, allocation, warm-up) and re-prefill time at 32K and 64K.</t>
  </si>
  <si>
    <t xml:space="preserve">D-23, D-43; the Section 5.4 figures.</t>
  </si>
  <si>
    <t xml:space="preserve">Arsenal report sequential L76; Arsenal CR C19.</t>
  </si>
  <si>
    <t xml:space="preserve">T-15</t>
  </si>
  <si>
    <t xml:space="preserve">Retrieval companions at the chosen pin: the Qwen3 embedder (--embedding --pooling last -ub 8192) and a Qwen3 reranker whose rank head is present (pooling RANK, cls.output.weight; batch fix #28876); hit rate on the Principal's corpus against the bge pair; re-index time; and the GPU resident set with router, embedder, reranker and OCR loaded, giving the resulting engine budget.</t>
  </si>
  <si>
    <t xml:space="preserve">D-14, D-45, C-02, C-03.</t>
  </si>
  <si>
    <t xml:space="preserve">Phase 2 gate, and before the re-index</t>
  </si>
  <si>
    <t xml:space="preserve">Arsenal report companions L84; Arsenal CR G1, G9 (L194-204). Roster gap_closure L361, L397, L432.</t>
  </si>
  <si>
    <t xml:space="preserve">T-16</t>
  </si>
  <si>
    <t xml:space="preserve">S53 unknowns on the node: the ntfy server's acceptance of the prune-failure push (as for the vault-breach push) and the real Celery worker path of the prune sweep, which the tests drive only in-process.</t>
  </si>
  <si>
    <t xml:space="preserve">R28 mitigation on the node; B-46 and B-76.</t>
  </si>
  <si>
    <t xml:space="preserve">Day 1 Phase 2, or the first live sweep</t>
  </si>
  <si>
    <t xml:space="preserve">FRAMEWORK_REVIEW 23 S53 L1198 (UNKNOWN until the node runs).</t>
  </si>
  <si>
    <t xml:space="preserve">T-17</t>
  </si>
  <si>
    <t xml:space="preserve">Vision documents on the Principal's own scans, contracts and drawings: GLM-5.3-Flash + glm5v mmproj against Qwen3-VL-235B Q5_K_S + mmproj (and Flash-Next + mmproj), with the OCR companion doing transcription; replaces the dropped Qwen3.8-27B versus Gemma 4 31B side-by-side.</t>
  </si>
  <si>
    <t xml:space="preserve">D-20, D-21.</t>
  </si>
  <si>
    <t xml:space="preserve">After the re-pin, or after Day 1</t>
  </si>
  <si>
    <t xml:space="preserve">Roster report L98, L114; Roster gap_closure L359. Arsenal report vision row L29.</t>
  </si>
  <si>
    <t xml:space="preserve">T-18</t>
  </si>
  <si>
    <t xml:space="preserve">Corporate-seat bake-off on the Principal's own prompts: GLM-5.3-Flash UD-IQ4_XS against Qwen3.8-Flash-Next UD-Q6_K_XL (runner-up for Ren and Victor), with gpt-oss-120b as the old default for reference, scored blind by the Principal or a director.</t>
  </si>
  <si>
    <t xml:space="preserve">D-10 (Ren and Victor seats), D-12, D-28 (whether Flash-Next earns its pull).</t>
  </si>
  <si>
    <t xml:space="preserve">Phase 3, after the re-pin, or after Day 1</t>
  </si>
  <si>
    <t xml:space="preserve">Roster report L66, L82 (head-to-head on the node), Addendum L140 (the Corporate bake-off stands). Arsenal report Ren row L17.</t>
  </si>
  <si>
    <t xml:space="preserve">T-19</t>
  </si>
  <si>
    <t xml:space="preserve">OCR throughput on gfx1151 and transcription quality on the Principal's documents, including handwriting and drawings: OvisOCR2, PaddleOCR-VL-1.6, TeleOCR and GLM-OCR.</t>
  </si>
  <si>
    <t xml:space="preserve">C-04 and its residency cost in D-14.</t>
  </si>
  <si>
    <t xml:space="preserve">Roster report L73, L100; Roster gap_closure L359. Arsenal report companions L84.</t>
  </si>
  <si>
    <t xml:space="preserve">T-20</t>
  </si>
  <si>
    <t xml:space="preserve">Word-error rate on the Principal's audio: faster-whisper large-v3-turbo against Qwen3-ASR-1.7B (/v1/audio/transcriptions on llama-server) and Phi-4-multimodal.</t>
  </si>
  <si>
    <t xml:space="preserve">C-05.</t>
  </si>
  <si>
    <t xml:space="preserve">Arsenal report companions L84; Arsenal CR G8. Roster gap_closure L359, L434.</t>
  </si>
  <si>
    <t xml:space="preserve">T-21</t>
  </si>
  <si>
    <t xml:space="preserve">Diarisation on the Principal's recordings: Nemotron 3 Diarization through NeMo-Speech.cpp on gfx1151 (speed and DER) against pyannote community-1 and 3.1.</t>
  </si>
  <si>
    <t xml:space="preserve">C-06; the value of D-05.</t>
  </si>
  <si>
    <t xml:space="preserve">Day 1 Phase 2 (V6), then after Day 1</t>
  </si>
  <si>
    <t xml:space="preserve">Arsenal CR section 2 (Nemotron 3 Diarization row). Roster report L77.</t>
  </si>
  <si>
    <t xml:space="preserve">T-22</t>
  </si>
  <si>
    <t xml:space="preserve">Qwen3-TTS 1.7B Base through llama-tts on the pinned Vulkan build: correct output (no PR confirms Vulkan output after #28253), real-time factor and cloning quality.</t>
  </si>
  <si>
    <t xml:space="preserve">C-10.</t>
  </si>
  <si>
    <t xml:space="preserve">Roster gap_closure L359, L433.</t>
  </si>
  <si>
    <t xml:space="preserve">T-23</t>
  </si>
  <si>
    <t xml:space="preserve">Chatterbox Turbo and Multilingual V3 on the ROCm 10.0 image (gfx1151): load, real-time factor and the continuation quirk; and the CTranslate2 4.7 ROCm wheel for faster-whisper on the same image.</t>
  </si>
  <si>
    <t xml:space="preserve">C-09; the GPU option in C-05.</t>
  </si>
  <si>
    <t xml:space="preserve">After Day 1 (Phase 4 image)</t>
  </si>
  <si>
    <t xml:space="preserve">Roster gap_closure L359.</t>
  </si>
  <si>
    <t xml:space="preserve">T-24</t>
  </si>
  <si>
    <t xml:space="preserve">TTS quality comparison under the quality-first rule on the Principal's own listening test: Kokoro-82M against Chatterbox Turbo / Multilingual V3, Qwen3-TTS 1.7B and CosyVoice3 (Apache 2.0), for naturalness, cloning and real-time factor.</t>
  </si>
  <si>
    <t xml:space="preserve">C-08, C-09, C-10 (the TTS companions were not re-evaluated by the arsenal research).</t>
  </si>
  <si>
    <t xml:space="preserve">After Day 1, with the V7 listening test</t>
  </si>
  <si>
    <t xml:space="preserve">Arsenal CR G8 (L192), open gap 6 (L279). Roster report L78, L102.</t>
  </si>
  <si>
    <t xml:space="preserve">T-25</t>
  </si>
  <si>
    <t xml:space="preserve">FLUX.1-dev and Z-Image-Turbo timing and stability on gfx1151 in the ROCm 10.0 image, with stable-diffusion.cpp on Vulkan as the fallback.</t>
  </si>
  <si>
    <t xml:space="preserve">C-11.</t>
  </si>
  <si>
    <t xml:space="preserve">Phase 4, after Day 1</t>
  </si>
  <si>
    <t xml:space="preserve">Roster report L79, L104.</t>
  </si>
  <si>
    <t xml:space="preserve">T-26</t>
  </si>
  <si>
    <t xml:space="preserve">MMLU-Pro with a fixed harness (llama-eval or lm-evaluation-harness) on the candidate files.</t>
  </si>
  <si>
    <t xml:space="preserve">Cross-engine allocation where the indexes disagree (D-10).</t>
  </si>
  <si>
    <t xml:space="preserve">Roster gap_closure L351.</t>
  </si>
  <si>
    <t xml:space="preserve">T-27</t>
  </si>
  <si>
    <t xml:space="preserve">The Principal's own test sets for Australian law, HR, aviation, logistics, AEC, SCADA, game design, growth marketing, customer success and physical security / OSINT.</t>
  </si>
  <si>
    <t xml:space="preserve">D-49; the Victor, Alaric and Gideon (AU law, HR) allocations in D-10.</t>
  </si>
  <si>
    <t xml:space="preserve">Arsenal report allocation points L34, gaps L90; Arsenal CR G10. Arsenal CR section 1 (L13) for customer success and growth marketing.</t>
  </si>
  <si>
    <t xml:space="preserve">T-28</t>
  </si>
  <si>
    <t xml:space="preserve">Sustained thermal and P-MODE behaviour under hours-long generation.</t>
  </si>
  <si>
    <t xml:space="preserve">Long sequential runs and the deep tier (D-43).</t>
  </si>
  <si>
    <t xml:space="preserve">Arsenal report gaps L90; Arsenal CR open gap 7.</t>
  </si>
  <si>
    <t xml:space="preserve">T-29</t>
  </si>
  <si>
    <t xml:space="preserve">Trial container check on gfx1151: inbox amdgpu driver only (no DKMS), rocminfo reports gfx1151, locked memory granted to the container alone, compute-wave save/restore on, and a long generation with no page faults or hangs.</t>
  </si>
  <si>
    <t xml:space="preserve">D-52, D-57.</t>
  </si>
  <si>
    <t xml:space="preserve">After Day 1, before the V4.1 quality trial</t>
  </si>
  <si>
    <t xml:space="preserve">Lucebox report Inputs row 3 (L394), Risks L374.</t>
  </si>
  <si>
    <t xml:space="preserve">T-30</t>
  </si>
  <si>
    <t xml:space="preserve">V4.1 quality trial: DwarfStar with antirez Q2 (151.76 GiB resident) against V4-Flash-0731 UD-Q8_K_XL (150.75 GiB) on 30-50 private Deep Think and TF_OMEGA-style tasks, scored blind by the Principal or a director.</t>
  </si>
  <si>
    <t xml:space="preserve">D-46 (promote V4.1 or not) and, through it, D-62.</t>
  </si>
  <si>
    <t xml:space="preserve">After Day 1, once D-46, D-51, D-52, D-53, D-54 and D-47 are answered</t>
  </si>
  <si>
    <t xml:space="preserve">Lucebox report Inputs rows 1-2 (L392-393), conclusion L384.</t>
  </si>
  <si>
    <t xml:space="preserve">T-31</t>
  </si>
  <si>
    <t xml:space="preserve">V4.1 speed on the node under greedy and temperature 1.0 sampling, with and without DSpark: decode at 0, 32K and 64K, prefill, draft acceptance and load time, against Framework's 14.0/13.8/13.8 tok/s plain, 16.3-16.5 with DSpark and prefill 350/337/300.</t>
  </si>
  <si>
    <t xml:space="preserve">D-47 (floor met or not), D-51 (a), D-61.</t>
  </si>
  <si>
    <t xml:space="preserve">After Day 1, during the trial</t>
  </si>
  <si>
    <t xml:space="preserve">Lucebox report Inputs row 8 (L399), Risks L374, path A (L356).</t>
  </si>
  <si>
    <t xml:space="preserve">T-32</t>
  </si>
  <si>
    <t xml:space="preserve">Second stage: the Lucebox engine on the iGPU alone with Geometric ds41-lucebox-final (152.15 GiB): whether it starts, decode (12-16 tok/s projected), prefill, and score on the same task set, with and without its router bias.</t>
  </si>
  <si>
    <t xml:space="preserve">D-51 (b), D-55, D-56.</t>
  </si>
  <si>
    <t xml:space="preserve">After Day 1, only if the first stage shows promise</t>
  </si>
  <si>
    <t xml:space="preserve">Lucebox report path B (L357), Inputs row 2 (L393).</t>
  </si>
  <si>
    <t xml:space="preserve">T-33</t>
  </si>
  <si>
    <t xml:space="preserve">Only if an R9700 is bought: the card in a USB4 v2 dock (thunderbolt.host_reset=false, amdgpu.runpm=0, dock powered before boot), checking BAR size and iGPU peer access, then Lucebox ds41-gorgon with a placement learned on the node, against Lucebox's 48.7 tok/s on code and 31-33 at 2K-31K (Gen3 x4).</t>
  </si>
  <si>
    <t xml:space="preserve">D-62 (b), after purchase.</t>
  </si>
  <si>
    <t xml:space="preserve">Optional, only if D-62 becomes (b)</t>
  </si>
  <si>
    <t xml:space="preserve">Lucebox report L323-L325, path E (L360).</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</si>
</sst>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0"/>
      <name val="Arial"/>
      <family val="0"/>
      <charset val="1"/>
    </font>
    <font>
      <sz val="10"/>
      <name val="Arial"/>
      <family val="0"/>
      <charset val="1"/>
    </font>
    <font>
      <b val="true"/>
      <sz val="10"/>
      <color rgb="FFFFFF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E7E6E6"/>
        <bgColor rgb="FFD9E1F2"/>
      </patternFill>
    </fill>
    <fill>
      <patternFill patternType="solid">
        <fgColor rgb="FFFFFF00"/>
        <bgColor rgb="FFFFFF00"/>
      </patternFill>
    </fill>
    <fill>
      <patternFill patternType="solid">
        <fgColor rgb="FFD9E1F2"/>
        <bgColor rgb="FFE7E6E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bgColor rgb="FFFFEB9C"/>
        </patternFill>
      </fill>
    </dxf>
    <dxf>
      <fill>
        <patternFill>
          <bgColor rgb="FFC6EFCE"/>
        </patternFill>
      </fill>
    </dxf>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9E1F2"/>
          <bgColor rgb="FF000000"/>
        </patternFill>
      </fill>
    </dxf>
    <dxf>
      <fill>
        <patternFill patternType="solid">
          <fgColor rgb="FFFFFF00"/>
          <bgColor rgb="FF000000"/>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7E6E6"/>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3" min="2" style="0" width="12"/>
    <col collapsed="false" customWidth="true" hidden="false" outlineLevel="0" max="4" min="4" style="0" width="14"/>
    <col collapsed="false" customWidth="true" hidden="false" outlineLevel="0" max="6" min="5" style="0" width="10"/>
    <col collapsed="false" customWidth="true" hidden="false" outlineLevel="0" max="7" min="7" style="0" width="12"/>
    <col collapsed="false" customWidth="true" hidden="false" outlineLevel="0" max="8" min="8" style="0" width="10"/>
    <col collapsed="false" customWidth="true" hidden="false" outlineLevel="0" max="9" min="9" style="0" width="11"/>
    <col collapsed="false" customWidth="true" hidden="false" outlineLevel="0" max="10" min="10" style="0" width="12"/>
    <col collapsed="false" customWidth="true" hidden="false" outlineLevel="0" max="11" min="11" style="0" width="10"/>
  </cols>
  <sheetData>
    <row r="1" customFormat="false" ht="17.35" hidden="false" customHeight="false" outlineLevel="0" collapsed="false">
      <c r="A1" s="1" t="s">
        <v>0</v>
      </c>
    </row>
    <row r="2" customFormat="false" ht="30" hidden="false" customHeight="true" outlineLevel="0" collapsed="false">
      <c r="A2" s="2" t="s">
        <v>1</v>
      </c>
      <c r="B2" s="2"/>
      <c r="C2" s="2"/>
      <c r="D2" s="2"/>
      <c r="E2" s="2"/>
      <c r="F2" s="2"/>
      <c r="G2" s="2"/>
      <c r="H2" s="2"/>
      <c r="I2" s="2"/>
      <c r="J2" s="2"/>
      <c r="K2" s="2"/>
    </row>
    <row r="4" customFormat="false" ht="15" hidden="false" customHeight="true" outlineLevel="0" collapsed="false">
      <c r="A4" s="3" t="s">
        <v>2</v>
      </c>
      <c r="B4" s="3"/>
      <c r="C4" s="3"/>
      <c r="D4" s="3"/>
      <c r="E4" s="3"/>
      <c r="F4" s="3"/>
      <c r="G4" s="3"/>
      <c r="H4" s="3"/>
      <c r="I4" s="3"/>
      <c r="J4" s="3"/>
      <c r="K4" s="3"/>
    </row>
    <row r="5" customFormat="false" ht="27" hidden="false" customHeight="true" outlineLevel="0" collapsed="false">
      <c r="A5" s="4" t="s">
        <v>3</v>
      </c>
      <c r="B5" s="4"/>
      <c r="C5" s="4"/>
      <c r="D5" s="4"/>
      <c r="E5" s="4"/>
      <c r="F5" s="4"/>
      <c r="G5" s="4"/>
      <c r="H5" s="4"/>
      <c r="I5" s="4"/>
      <c r="J5" s="4"/>
      <c r="K5" s="4"/>
    </row>
    <row r="6" customFormat="false" ht="27" hidden="false" customHeight="true" outlineLevel="0" collapsed="false">
      <c r="A6" s="4" t="s">
        <v>4</v>
      </c>
      <c r="B6" s="4"/>
      <c r="C6" s="4"/>
      <c r="D6" s="4"/>
      <c r="E6" s="4"/>
      <c r="F6" s="4"/>
      <c r="G6" s="4"/>
      <c r="H6" s="4"/>
      <c r="I6" s="4"/>
      <c r="J6" s="4"/>
      <c r="K6" s="4"/>
    </row>
    <row r="7" customFormat="false" ht="27" hidden="false" customHeight="true" outlineLevel="0" collapsed="false">
      <c r="A7" s="4" t="s">
        <v>5</v>
      </c>
      <c r="B7" s="4"/>
      <c r="C7" s="4"/>
      <c r="D7" s="4"/>
      <c r="E7" s="4"/>
      <c r="F7" s="4"/>
      <c r="G7" s="4"/>
      <c r="H7" s="4"/>
      <c r="I7" s="4"/>
      <c r="J7" s="4"/>
      <c r="K7" s="4"/>
    </row>
    <row r="8" customFormat="false" ht="27" hidden="false" customHeight="true" outlineLevel="0" collapsed="false">
      <c r="A8" s="4" t="s">
        <v>6</v>
      </c>
      <c r="B8" s="4"/>
      <c r="C8" s="4"/>
      <c r="D8" s="4"/>
      <c r="E8" s="4"/>
      <c r="F8" s="4"/>
      <c r="G8" s="4"/>
      <c r="H8" s="4"/>
      <c r="I8" s="4"/>
      <c r="J8" s="4"/>
      <c r="K8" s="4"/>
    </row>
    <row r="9" customFormat="false" ht="27" hidden="false" customHeight="true" outlineLevel="0" collapsed="false">
      <c r="A9" s="4" t="s">
        <v>7</v>
      </c>
      <c r="B9" s="4"/>
      <c r="C9" s="4"/>
      <c r="D9" s="4"/>
      <c r="E9" s="4"/>
      <c r="F9" s="4"/>
      <c r="G9" s="4"/>
      <c r="H9" s="4"/>
      <c r="I9" s="4"/>
      <c r="J9" s="4"/>
      <c r="K9" s="4"/>
    </row>
    <row r="10" customFormat="false" ht="27" hidden="false" customHeight="true" outlineLevel="0" collapsed="false">
      <c r="A10" s="4" t="s">
        <v>8</v>
      </c>
      <c r="B10" s="4"/>
      <c r="C10" s="4"/>
      <c r="D10" s="4"/>
      <c r="E10" s="4"/>
      <c r="F10" s="4"/>
      <c r="G10" s="4"/>
      <c r="H10" s="4"/>
      <c r="I10" s="4"/>
      <c r="J10" s="4"/>
      <c r="K10" s="4"/>
    </row>
    <row r="12" customFormat="false" ht="15" hidden="false" customHeight="false" outlineLevel="0" collapsed="false">
      <c r="A12" s="5" t="s">
        <v>9</v>
      </c>
    </row>
    <row r="13" customFormat="false" ht="15" hidden="false" customHeight="true" outlineLevel="0" collapsed="false">
      <c r="A13" s="6" t="s">
        <v>10</v>
      </c>
      <c r="B13" s="7" t="s">
        <v>11</v>
      </c>
      <c r="C13" s="7"/>
      <c r="D13" s="7"/>
      <c r="E13" s="7"/>
      <c r="F13" s="7"/>
      <c r="G13" s="7"/>
      <c r="H13" s="7"/>
    </row>
    <row r="14" customFormat="false" ht="15" hidden="false" customHeight="true" outlineLevel="0" collapsed="false">
      <c r="A14" s="6" t="s">
        <v>12</v>
      </c>
      <c r="B14" s="7" t="s">
        <v>13</v>
      </c>
      <c r="C14" s="7"/>
      <c r="D14" s="7"/>
      <c r="E14" s="7"/>
      <c r="F14" s="7"/>
      <c r="G14" s="7"/>
      <c r="H14" s="7"/>
    </row>
    <row r="15" customFormat="false" ht="15" hidden="false" customHeight="true" outlineLevel="0" collapsed="false">
      <c r="A15" s="6" t="s">
        <v>14</v>
      </c>
      <c r="B15" s="7" t="s">
        <v>15</v>
      </c>
      <c r="C15" s="7"/>
      <c r="D15" s="7"/>
      <c r="E15" s="7"/>
      <c r="F15" s="7"/>
      <c r="G15" s="7"/>
      <c r="H15" s="7"/>
    </row>
    <row r="16" customFormat="false" ht="15" hidden="false" customHeight="true" outlineLevel="0" collapsed="false">
      <c r="A16" s="6" t="s">
        <v>16</v>
      </c>
      <c r="B16" s="8" t="s">
        <v>17</v>
      </c>
      <c r="C16" s="8"/>
      <c r="D16" s="8"/>
      <c r="E16" s="8"/>
      <c r="F16" s="8"/>
      <c r="G16" s="8"/>
      <c r="H16" s="8"/>
    </row>
    <row r="17" customFormat="false" ht="15" hidden="false" customHeight="true" outlineLevel="0" collapsed="false">
      <c r="A17" s="6" t="s">
        <v>18</v>
      </c>
      <c r="B17" s="8" t="s">
        <v>19</v>
      </c>
      <c r="C17" s="8"/>
      <c r="D17" s="8"/>
      <c r="E17" s="8"/>
      <c r="F17" s="8"/>
      <c r="G17" s="8"/>
      <c r="H17" s="8"/>
    </row>
    <row r="18" customFormat="false" ht="15" hidden="false" customHeight="true" outlineLevel="0" collapsed="false">
      <c r="A18" s="6" t="s">
        <v>20</v>
      </c>
      <c r="B18" s="8" t="s">
        <v>21</v>
      </c>
      <c r="C18" s="8"/>
      <c r="D18" s="8"/>
      <c r="E18" s="8"/>
      <c r="F18" s="8"/>
      <c r="G18" s="8"/>
      <c r="H18" s="8"/>
    </row>
    <row r="20" customFormat="false" ht="15" hidden="false" customHeight="false" outlineLevel="0" collapsed="false">
      <c r="A20" s="5" t="s">
        <v>22</v>
      </c>
    </row>
    <row r="21" customFormat="false" ht="23.85" hidden="false" customHeight="false" outlineLevel="0" collapsed="false">
      <c r="A21" s="9" t="s">
        <v>23</v>
      </c>
      <c r="B21" s="9" t="s">
        <v>24</v>
      </c>
      <c r="C21" s="9" t="s">
        <v>25</v>
      </c>
      <c r="D21" s="9" t="s">
        <v>17</v>
      </c>
      <c r="E21" s="9" t="s">
        <v>26</v>
      </c>
      <c r="F21" s="9" t="s">
        <v>27</v>
      </c>
      <c r="G21" s="9" t="s">
        <v>28</v>
      </c>
      <c r="H21" s="9" t="s">
        <v>29</v>
      </c>
      <c r="I21" s="9" t="s">
        <v>30</v>
      </c>
      <c r="J21" s="9" t="s">
        <v>31</v>
      </c>
    </row>
    <row r="22" customFormat="false" ht="15" hidden="false" customHeight="false" outlineLevel="0" collapsed="false">
      <c r="A22" s="10" t="s">
        <v>32</v>
      </c>
      <c r="B22" s="11" t="n">
        <f aca="false">COUNTA('1 Decisions'!$A$5:$A$68)</f>
        <v>64</v>
      </c>
      <c r="C22" s="11" t="n">
        <f aca="false">COUNTIF('1 Decisions'!$J$5:$J$68,"Approve")</f>
        <v>0</v>
      </c>
      <c r="D22" s="11" t="n">
        <f aca="false">COUNTIF('1 Decisions'!$J$5:$J$68,"Approve with changes")</f>
        <v>0</v>
      </c>
      <c r="E22" s="11" t="n">
        <f aca="false">COUNTIF('1 Decisions'!$J$5:$J$68,"Reject")</f>
        <v>0</v>
      </c>
      <c r="F22" s="11" t="n">
        <f aca="false">COUNTIF('1 Decisions'!$J$5:$J$68,"Defer")</f>
        <v>0</v>
      </c>
      <c r="G22" s="11" t="n">
        <f aca="false">COUNTIF('1 Decisions'!$J$5:$J$68,"Need more info")</f>
        <v>0</v>
      </c>
      <c r="H22" s="11" t="n">
        <f aca="false">COUNTIF('1 Decisions'!$J$5:$J$68,"Done")</f>
        <v>0</v>
      </c>
      <c r="I22" s="11" t="n">
        <f aca="false">COUNTA('1 Decisions'!$J$5:$J$68)</f>
        <v>0</v>
      </c>
      <c r="J22" s="11" t="n">
        <f aca="false">B22-I22</f>
        <v>64</v>
      </c>
    </row>
    <row r="23" customFormat="false" ht="15" hidden="false" customHeight="false" outlineLevel="0" collapsed="false">
      <c r="A23" s="10" t="s">
        <v>33</v>
      </c>
      <c r="B23" s="11" t="n">
        <f aca="false">COUNTA('2 Named models'!$A$5:$A$16)</f>
        <v>12</v>
      </c>
      <c r="C23" s="11" t="n">
        <f aca="false">COUNTIF('2 Named models'!$I$5:$I$16,"Approve")</f>
        <v>0</v>
      </c>
      <c r="D23" s="11" t="n">
        <f aca="false">COUNTIF('2 Named models'!$I$5:$I$16,"Approve with changes")</f>
        <v>0</v>
      </c>
      <c r="E23" s="11" t="n">
        <f aca="false">COUNTIF('2 Named models'!$I$5:$I$16,"Reject")</f>
        <v>0</v>
      </c>
      <c r="F23" s="11" t="n">
        <f aca="false">COUNTIF('2 Named models'!$I$5:$I$16,"Defer")</f>
        <v>0</v>
      </c>
      <c r="G23" s="11" t="n">
        <f aca="false">COUNTIF('2 Named models'!$I$5:$I$16,"Need more info")</f>
        <v>0</v>
      </c>
      <c r="H23" s="11" t="n">
        <f aca="false">COUNTIF('2 Named models'!$I$5:$I$16,"Done")</f>
        <v>0</v>
      </c>
      <c r="I23" s="11" t="n">
        <f aca="false">COUNTA('2 Named models'!$I$5:$I$16)</f>
        <v>0</v>
      </c>
      <c r="J23" s="11" t="n">
        <f aca="false">B23-I23</f>
        <v>12</v>
      </c>
    </row>
    <row r="24" customFormat="false" ht="15" hidden="false" customHeight="false" outlineLevel="0" collapsed="false">
      <c r="A24" s="10" t="s">
        <v>34</v>
      </c>
      <c r="B24" s="11" t="n">
        <f aca="false">COUNTA('3 Persona allocation'!$A$5:$A$22)</f>
        <v>18</v>
      </c>
      <c r="C24" s="11" t="n">
        <f aca="false">COUNTIF('3 Persona allocation'!$K$5:$K$22,"Approve")</f>
        <v>0</v>
      </c>
      <c r="D24" s="11" t="n">
        <f aca="false">COUNTIF('3 Persona allocation'!$K$5:$K$22,"Approve with changes")</f>
        <v>0</v>
      </c>
      <c r="E24" s="11" t="n">
        <f aca="false">COUNTIF('3 Persona allocation'!$K$5:$K$22,"Reject")</f>
        <v>0</v>
      </c>
      <c r="F24" s="11" t="n">
        <f aca="false">COUNTIF('3 Persona allocation'!$K$5:$K$22,"Defer")</f>
        <v>0</v>
      </c>
      <c r="G24" s="11" t="n">
        <f aca="false">COUNTIF('3 Persona allocation'!$K$5:$K$22,"Need more info")</f>
        <v>0</v>
      </c>
      <c r="H24" s="11" t="n">
        <f aca="false">COUNTIF('3 Persona allocation'!$K$5:$K$22,"Done")</f>
        <v>0</v>
      </c>
      <c r="I24" s="11" t="n">
        <f aca="false">COUNTA('3 Persona allocation'!$K$5:$K$22)</f>
        <v>0</v>
      </c>
      <c r="J24" s="11" t="n">
        <f aca="false">B24-I24</f>
        <v>18</v>
      </c>
    </row>
    <row r="25" customFormat="false" ht="15" hidden="false" customHeight="false" outlineLevel="0" collapsed="false">
      <c r="A25" s="10" t="s">
        <v>35</v>
      </c>
      <c r="B25" s="11" t="n">
        <f aca="false">COUNTA('4 Companions'!$A$5:$A$16)</f>
        <v>12</v>
      </c>
      <c r="C25" s="11" t="n">
        <f aca="false">COUNTIF('4 Companions'!$I$5:$I$16,"Approve")</f>
        <v>0</v>
      </c>
      <c r="D25" s="11" t="n">
        <f aca="false">COUNTIF('4 Companions'!$I$5:$I$16,"Approve with changes")</f>
        <v>0</v>
      </c>
      <c r="E25" s="11" t="n">
        <f aca="false">COUNTIF('4 Companions'!$I$5:$I$16,"Reject")</f>
        <v>0</v>
      </c>
      <c r="F25" s="11" t="n">
        <f aca="false">COUNTIF('4 Companions'!$I$5:$I$16,"Defer")</f>
        <v>0</v>
      </c>
      <c r="G25" s="11" t="n">
        <f aca="false">COUNTIF('4 Companions'!$I$5:$I$16,"Need more info")</f>
        <v>0</v>
      </c>
      <c r="H25" s="11" t="n">
        <f aca="false">COUNTIF('4 Companions'!$I$5:$I$16,"Done")</f>
        <v>0</v>
      </c>
      <c r="I25" s="11" t="n">
        <f aca="false">COUNTA('4 Companions'!$I$5:$I$16)</f>
        <v>0</v>
      </c>
      <c r="J25" s="11" t="n">
        <f aca="false">B25-I25</f>
        <v>12</v>
      </c>
    </row>
    <row r="26" customFormat="false" ht="15" hidden="false" customHeight="false" outlineLevel="0" collapsed="false">
      <c r="A26" s="10" t="s">
        <v>36</v>
      </c>
      <c r="B26" s="11" t="n">
        <f aca="false">COUNTA('5 Structure changes'!$A$5:$A$64)</f>
        <v>60</v>
      </c>
      <c r="C26" s="11" t="n">
        <f aca="false">COUNTIF('5 Structure changes'!$H$5:$H$64,"Approve")</f>
        <v>0</v>
      </c>
      <c r="D26" s="11" t="n">
        <f aca="false">COUNTIF('5 Structure changes'!$H$5:$H$64,"Approve with changes")</f>
        <v>0</v>
      </c>
      <c r="E26" s="11" t="n">
        <f aca="false">COUNTIF('5 Structure changes'!$H$5:$H$64,"Reject")</f>
        <v>0</v>
      </c>
      <c r="F26" s="11" t="n">
        <f aca="false">COUNTIF('5 Structure changes'!$H$5:$H$64,"Defer")</f>
        <v>0</v>
      </c>
      <c r="G26" s="11" t="n">
        <f aca="false">COUNTIF('5 Structure changes'!$H$5:$H$64,"Need more info")</f>
        <v>0</v>
      </c>
      <c r="H26" s="11" t="n">
        <f aca="false">COUNTIF('5 Structure changes'!$H$5:$H$64,"Done")</f>
        <v>0</v>
      </c>
      <c r="I26" s="11" t="n">
        <f aca="false">COUNTA('5 Structure changes'!$H$5:$H$64)</f>
        <v>0</v>
      </c>
      <c r="J26" s="11" t="n">
        <f aca="false">B26-I26</f>
        <v>60</v>
      </c>
    </row>
    <row r="27" customFormat="false" ht="15" hidden="false" customHeight="false" outlineLevel="0" collapsed="false">
      <c r="A27" s="10" t="s">
        <v>37</v>
      </c>
      <c r="B27" s="11" t="n">
        <f aca="false">COUNTA('6 Baseline open items'!$A$5:$A$84)</f>
        <v>80</v>
      </c>
      <c r="C27" s="11" t="n">
        <f aca="false">COUNTIF('6 Baseline open items'!$H$5:$H$84,"Approve")</f>
        <v>0</v>
      </c>
      <c r="D27" s="11" t="n">
        <f aca="false">COUNTIF('6 Baseline open items'!$H$5:$H$84,"Approve with changes")</f>
        <v>0</v>
      </c>
      <c r="E27" s="11" t="n">
        <f aca="false">COUNTIF('6 Baseline open items'!$H$5:$H$84,"Reject")</f>
        <v>0</v>
      </c>
      <c r="F27" s="11" t="n">
        <f aca="false">COUNTIF('6 Baseline open items'!$H$5:$H$84,"Defer")</f>
        <v>0</v>
      </c>
      <c r="G27" s="11" t="n">
        <f aca="false">COUNTIF('6 Baseline open items'!$H$5:$H$84,"Need more info")</f>
        <v>0</v>
      </c>
      <c r="H27" s="11" t="n">
        <f aca="false">COUNTIF('6 Baseline open items'!$H$5:$H$84,"Done")</f>
        <v>0</v>
      </c>
      <c r="I27" s="11" t="n">
        <f aca="false">COUNTA('6 Baseline open items'!$H$5:$H$84)</f>
        <v>0</v>
      </c>
      <c r="J27" s="11" t="n">
        <f aca="false">B27-I27</f>
        <v>80</v>
      </c>
    </row>
    <row r="28" customFormat="false" ht="15" hidden="false" customHeight="false" outlineLevel="0" collapsed="false">
      <c r="A28" s="10" t="s">
        <v>38</v>
      </c>
      <c r="B28" s="11" t="n">
        <f aca="false">COUNTA('7 Node tests'!$A$5:$A$37)</f>
        <v>33</v>
      </c>
      <c r="C28" s="11" t="n">
        <f aca="false">COUNTIF('7 Node tests'!$F$5:$F$37,"Approve")</f>
        <v>0</v>
      </c>
      <c r="D28" s="11" t="n">
        <f aca="false">COUNTIF('7 Node tests'!$F$5:$F$37,"Approve with changes")</f>
        <v>0</v>
      </c>
      <c r="E28" s="11" t="n">
        <f aca="false">COUNTIF('7 Node tests'!$F$5:$F$37,"Reject")</f>
        <v>0</v>
      </c>
      <c r="F28" s="11" t="n">
        <f aca="false">COUNTIF('7 Node tests'!$F$5:$F$37,"Defer")</f>
        <v>0</v>
      </c>
      <c r="G28" s="11" t="n">
        <f aca="false">COUNTIF('7 Node tests'!$F$5:$F$37,"Need more info")</f>
        <v>0</v>
      </c>
      <c r="H28" s="11" t="n">
        <f aca="false">COUNTIF('7 Node tests'!$F$5:$F$37,"Done")</f>
        <v>0</v>
      </c>
      <c r="I28" s="11" t="n">
        <f aca="false">COUNTA('7 Node tests'!$F$5:$F$37)</f>
        <v>0</v>
      </c>
      <c r="J28" s="11" t="n">
        <f aca="false">B28-I28</f>
        <v>33</v>
      </c>
    </row>
    <row r="29" customFormat="false" ht="15" hidden="false" customHeight="false" outlineLevel="0" collapsed="false">
      <c r="A29" s="12" t="s">
        <v>39</v>
      </c>
      <c r="B29" s="13" t="n">
        <f aca="false">SUM(B22:B28)</f>
        <v>279</v>
      </c>
      <c r="C29" s="13" t="n">
        <f aca="false">SUM(C22:C28)</f>
        <v>0</v>
      </c>
      <c r="D29" s="13" t="n">
        <f aca="false">SUM(D22:D28)</f>
        <v>0</v>
      </c>
      <c r="E29" s="13" t="n">
        <f aca="false">SUM(E22:E28)</f>
        <v>0</v>
      </c>
      <c r="F29" s="13" t="n">
        <f aca="false">SUM(F22:F28)</f>
        <v>0</v>
      </c>
      <c r="G29" s="13" t="n">
        <f aca="false">SUM(G22:G28)</f>
        <v>0</v>
      </c>
      <c r="H29" s="13" t="n">
        <f aca="false">SUM(H22:H28)</f>
        <v>0</v>
      </c>
      <c r="I29" s="13" t="n">
        <f aca="false">SUM(I22:I28)</f>
        <v>0</v>
      </c>
      <c r="J29" s="13" t="n">
        <f aca="false">SUM(J22:J28)</f>
        <v>279</v>
      </c>
    </row>
    <row r="31" customFormat="false" ht="15" hidden="false" customHeight="false" outlineLevel="0" collapsed="false">
      <c r="A31" s="5" t="s">
        <v>40</v>
      </c>
    </row>
    <row r="32" customFormat="false" ht="15" hidden="false" customHeight="false" outlineLevel="0" collapsed="false">
      <c r="A32" s="14" t="s">
        <v>41</v>
      </c>
      <c r="B32" s="14"/>
      <c r="C32" s="14"/>
      <c r="D32" s="14"/>
      <c r="E32" s="14"/>
      <c r="F32" s="14"/>
      <c r="G32" s="14"/>
      <c r="H32" s="14"/>
      <c r="I32" s="14"/>
      <c r="J32" s="14"/>
      <c r="K32" s="14"/>
    </row>
    <row r="33" customFormat="false" ht="15" hidden="false" customHeight="false" outlineLevel="0" collapsed="false">
      <c r="A33" s="14" t="s">
        <v>42</v>
      </c>
      <c r="B33" s="14"/>
      <c r="C33" s="14"/>
      <c r="D33" s="14"/>
      <c r="E33" s="14"/>
      <c r="F33" s="14"/>
      <c r="G33" s="14"/>
      <c r="H33" s="14"/>
      <c r="I33" s="14"/>
      <c r="J33" s="14"/>
      <c r="K33" s="14"/>
    </row>
    <row r="34" customFormat="false" ht="15" hidden="false" customHeight="false" outlineLevel="0" collapsed="false">
      <c r="A34" s="14" t="s">
        <v>43</v>
      </c>
      <c r="B34" s="14"/>
      <c r="C34" s="14"/>
      <c r="D34" s="14"/>
      <c r="E34" s="14"/>
      <c r="F34" s="14"/>
      <c r="G34" s="14"/>
      <c r="H34" s="14"/>
      <c r="I34" s="14"/>
      <c r="J34" s="14"/>
      <c r="K34" s="14"/>
    </row>
    <row r="35" customFormat="false" ht="15" hidden="false" customHeight="false" outlineLevel="0" collapsed="false">
      <c r="A35" s="14" t="s">
        <v>44</v>
      </c>
      <c r="B35" s="14"/>
      <c r="C35" s="14"/>
      <c r="D35" s="14"/>
      <c r="E35" s="14"/>
      <c r="F35" s="14"/>
      <c r="G35" s="14"/>
      <c r="H35" s="14"/>
      <c r="I35" s="14"/>
      <c r="J35" s="14"/>
      <c r="K35" s="14"/>
    </row>
  </sheetData>
  <mergeCells count="18">
    <mergeCell ref="A2:K2"/>
    <mergeCell ref="A4:K4"/>
    <mergeCell ref="A5:K5"/>
    <mergeCell ref="A6:K6"/>
    <mergeCell ref="A7:K7"/>
    <mergeCell ref="A8:K8"/>
    <mergeCell ref="A9:K9"/>
    <mergeCell ref="A10:K10"/>
    <mergeCell ref="B13:H13"/>
    <mergeCell ref="B14:H14"/>
    <mergeCell ref="B15:H15"/>
    <mergeCell ref="B16:H16"/>
    <mergeCell ref="B17:H17"/>
    <mergeCell ref="B18:H18"/>
    <mergeCell ref="A32:K32"/>
    <mergeCell ref="A33:K33"/>
    <mergeCell ref="A34:K34"/>
    <mergeCell ref="A35:K35"/>
  </mergeCells>
  <conditionalFormatting sqref="J22:J29">
    <cfRule type="cellIs" priority="2" operator="greaterThan" aboveAverage="0" equalAverage="0" bottom="0" percent="0" rank="0" text="" dxfId="0">
      <formula>0</formula>
    </cfRule>
    <cfRule type="cellIs" priority="3" operator="equal"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6"/>
    <col collapsed="false" customWidth="true" hidden="false" outlineLevel="0" max="3" min="3" style="0" width="42"/>
    <col collapsed="false" customWidth="true" hidden="false" outlineLevel="0" max="4" min="4" style="0" width="40"/>
    <col collapsed="false" customWidth="true" hidden="false" outlineLevel="0" max="5" min="5" style="0" width="42"/>
    <col collapsed="false" customWidth="true" hidden="false" outlineLevel="0" max="6" min="6" style="0" width="52"/>
    <col collapsed="false" customWidth="true" hidden="false" outlineLevel="0" max="7" min="7" style="0" width="15"/>
    <col collapsed="false" customWidth="true" hidden="false" outlineLevel="0" max="8" min="8" style="0" width="14"/>
    <col collapsed="false" customWidth="true" hidden="false" outlineLevel="0" max="9" min="9" style="0" width="30"/>
    <col collapsed="false" customWidth="true" hidden="false" outlineLevel="0" max="10" min="10" style="0" width="18"/>
    <col collapsed="false" customWidth="true" hidden="false" outlineLevel="0" max="11" min="11" style="0" width="30"/>
    <col collapsed="false" customWidth="true" hidden="false" outlineLevel="0" max="12" min="12" style="0" width="36"/>
  </cols>
  <sheetData>
    <row r="1" customFormat="false" ht="17.35" hidden="false" customHeight="false" outlineLevel="0" collapsed="false">
      <c r="A1" s="1" t="s">
        <v>45</v>
      </c>
    </row>
    <row r="2" customFormat="false" ht="15" hidden="false" customHeight="false" outlineLevel="0" collapsed="false">
      <c r="A2" s="15" t="s">
        <v>46</v>
      </c>
    </row>
    <row r="4" customFormat="false" ht="15" hidden="false" customHeight="false" outlineLevel="0" collapsed="false">
      <c r="A4" s="9" t="s">
        <v>10</v>
      </c>
      <c r="B4" s="9" t="s">
        <v>47</v>
      </c>
      <c r="C4" s="9" t="s">
        <v>48</v>
      </c>
      <c r="D4" s="9" t="s">
        <v>49</v>
      </c>
      <c r="E4" s="9" t="s">
        <v>14</v>
      </c>
      <c r="F4" s="9" t="s">
        <v>50</v>
      </c>
      <c r="G4" s="9" t="s">
        <v>51</v>
      </c>
      <c r="H4" s="9" t="s">
        <v>52</v>
      </c>
      <c r="I4" s="9" t="s">
        <v>53</v>
      </c>
      <c r="J4" s="9" t="s">
        <v>16</v>
      </c>
      <c r="K4" s="9" t="s">
        <v>18</v>
      </c>
      <c r="L4" s="9" t="s">
        <v>20</v>
      </c>
    </row>
    <row r="5" customFormat="false" ht="120.75" hidden="false" customHeight="true" outlineLevel="0" collapsed="false">
      <c r="A5" s="11" t="s">
        <v>54</v>
      </c>
      <c r="B5" s="10" t="s">
        <v>55</v>
      </c>
      <c r="C5" s="10" t="s">
        <v>56</v>
      </c>
      <c r="D5" s="10" t="s">
        <v>57</v>
      </c>
      <c r="E5" s="16" t="s">
        <v>58</v>
      </c>
      <c r="F5" s="10" t="s">
        <v>59</v>
      </c>
      <c r="G5" s="10" t="s">
        <v>60</v>
      </c>
      <c r="H5" s="10" t="s">
        <v>61</v>
      </c>
      <c r="I5" s="10" t="s">
        <v>62</v>
      </c>
      <c r="J5" s="8"/>
      <c r="K5" s="8"/>
      <c r="L5" s="8"/>
    </row>
    <row r="6" customFormat="false" ht="94.5" hidden="false" customHeight="true" outlineLevel="0" collapsed="false">
      <c r="A6" s="11" t="s">
        <v>63</v>
      </c>
      <c r="B6" s="10" t="s">
        <v>64</v>
      </c>
      <c r="C6" s="10" t="s">
        <v>65</v>
      </c>
      <c r="D6" s="10" t="s">
        <v>66</v>
      </c>
      <c r="E6" s="16" t="s">
        <v>67</v>
      </c>
      <c r="F6" s="10" t="s">
        <v>68</v>
      </c>
      <c r="G6" s="10" t="s">
        <v>60</v>
      </c>
      <c r="H6" s="10" t="s">
        <v>69</v>
      </c>
      <c r="I6" s="10" t="s">
        <v>70</v>
      </c>
      <c r="J6" s="8"/>
      <c r="K6" s="8"/>
      <c r="L6" s="8"/>
    </row>
    <row r="7" customFormat="false" ht="42.75" hidden="false" customHeight="true" outlineLevel="0" collapsed="false">
      <c r="A7" s="11" t="s">
        <v>71</v>
      </c>
      <c r="B7" s="10" t="s">
        <v>72</v>
      </c>
      <c r="C7" s="10" t="s">
        <v>73</v>
      </c>
      <c r="D7" s="10" t="s">
        <v>74</v>
      </c>
      <c r="E7" s="16" t="s">
        <v>75</v>
      </c>
      <c r="F7" s="10" t="s">
        <v>76</v>
      </c>
      <c r="G7" s="10" t="s">
        <v>60</v>
      </c>
      <c r="H7" s="10"/>
      <c r="I7" s="10" t="s">
        <v>77</v>
      </c>
      <c r="J7" s="8"/>
      <c r="K7" s="8"/>
      <c r="L7" s="8"/>
    </row>
    <row r="8" customFormat="false" ht="81.75" hidden="false" customHeight="true" outlineLevel="0" collapsed="false">
      <c r="A8" s="11" t="s">
        <v>78</v>
      </c>
      <c r="B8" s="10" t="s">
        <v>79</v>
      </c>
      <c r="C8" s="10" t="s">
        <v>80</v>
      </c>
      <c r="D8" s="10" t="s">
        <v>81</v>
      </c>
      <c r="E8" s="16" t="s">
        <v>82</v>
      </c>
      <c r="F8" s="10" t="s">
        <v>83</v>
      </c>
      <c r="G8" s="10" t="s">
        <v>60</v>
      </c>
      <c r="H8" s="10"/>
      <c r="I8" s="10" t="s">
        <v>84</v>
      </c>
      <c r="J8" s="8"/>
      <c r="K8" s="8"/>
      <c r="L8" s="8"/>
    </row>
    <row r="9" customFormat="false" ht="55.5" hidden="false" customHeight="true" outlineLevel="0" collapsed="false">
      <c r="A9" s="11" t="s">
        <v>85</v>
      </c>
      <c r="B9" s="10" t="s">
        <v>86</v>
      </c>
      <c r="C9" s="10" t="s">
        <v>87</v>
      </c>
      <c r="D9" s="10" t="s">
        <v>88</v>
      </c>
      <c r="E9" s="16" t="s">
        <v>82</v>
      </c>
      <c r="F9" s="10" t="s">
        <v>89</v>
      </c>
      <c r="G9" s="10" t="s">
        <v>60</v>
      </c>
      <c r="H9" s="10"/>
      <c r="I9" s="10" t="s">
        <v>90</v>
      </c>
      <c r="J9" s="8"/>
      <c r="K9" s="8"/>
      <c r="L9" s="8"/>
    </row>
    <row r="10" customFormat="false" ht="69" hidden="false" customHeight="true" outlineLevel="0" collapsed="false">
      <c r="A10" s="11" t="s">
        <v>91</v>
      </c>
      <c r="B10" s="10" t="s">
        <v>92</v>
      </c>
      <c r="C10" s="10" t="s">
        <v>93</v>
      </c>
      <c r="D10" s="10" t="s">
        <v>94</v>
      </c>
      <c r="E10" s="16" t="s">
        <v>95</v>
      </c>
      <c r="F10" s="10" t="s">
        <v>96</v>
      </c>
      <c r="G10" s="10" t="s">
        <v>60</v>
      </c>
      <c r="H10" s="10"/>
      <c r="I10" s="10" t="s">
        <v>97</v>
      </c>
      <c r="J10" s="8"/>
      <c r="K10" s="8"/>
      <c r="L10" s="8"/>
    </row>
    <row r="11" customFormat="false" ht="120.75" hidden="false" customHeight="true" outlineLevel="0" collapsed="false">
      <c r="A11" s="11" t="s">
        <v>98</v>
      </c>
      <c r="B11" s="10" t="s">
        <v>99</v>
      </c>
      <c r="C11" s="10" t="s">
        <v>100</v>
      </c>
      <c r="D11" s="10" t="s">
        <v>101</v>
      </c>
      <c r="E11" s="16" t="s">
        <v>102</v>
      </c>
      <c r="F11" s="10" t="s">
        <v>103</v>
      </c>
      <c r="G11" s="10" t="s">
        <v>60</v>
      </c>
      <c r="H11" s="10" t="s">
        <v>104</v>
      </c>
      <c r="I11" s="10" t="s">
        <v>105</v>
      </c>
      <c r="J11" s="8"/>
      <c r="K11" s="8"/>
      <c r="L11" s="8"/>
    </row>
    <row r="12" customFormat="false" ht="94.5" hidden="false" customHeight="true" outlineLevel="0" collapsed="false">
      <c r="A12" s="11" t="s">
        <v>106</v>
      </c>
      <c r="B12" s="10" t="s">
        <v>107</v>
      </c>
      <c r="C12" s="10" t="s">
        <v>108</v>
      </c>
      <c r="D12" s="10" t="s">
        <v>109</v>
      </c>
      <c r="E12" s="16" t="s">
        <v>110</v>
      </c>
      <c r="F12" s="10" t="s">
        <v>111</v>
      </c>
      <c r="G12" s="10" t="s">
        <v>60</v>
      </c>
      <c r="H12" s="10" t="s">
        <v>112</v>
      </c>
      <c r="I12" s="10" t="s">
        <v>113</v>
      </c>
      <c r="J12" s="8"/>
      <c r="K12" s="8"/>
      <c r="L12" s="8"/>
    </row>
    <row r="13" customFormat="false" ht="69" hidden="false" customHeight="true" outlineLevel="0" collapsed="false">
      <c r="A13" s="11" t="s">
        <v>114</v>
      </c>
      <c r="B13" s="10" t="s">
        <v>115</v>
      </c>
      <c r="C13" s="10" t="s">
        <v>116</v>
      </c>
      <c r="D13" s="10" t="s">
        <v>117</v>
      </c>
      <c r="E13" s="16" t="s">
        <v>118</v>
      </c>
      <c r="F13" s="10" t="s">
        <v>119</v>
      </c>
      <c r="G13" s="10" t="s">
        <v>60</v>
      </c>
      <c r="H13" s="10" t="s">
        <v>120</v>
      </c>
      <c r="I13" s="10" t="s">
        <v>121</v>
      </c>
      <c r="J13" s="8"/>
      <c r="K13" s="8"/>
      <c r="L13" s="8"/>
    </row>
    <row r="14" customFormat="false" ht="94.5" hidden="false" customHeight="true" outlineLevel="0" collapsed="false">
      <c r="A14" s="11" t="s">
        <v>122</v>
      </c>
      <c r="B14" s="10" t="s">
        <v>123</v>
      </c>
      <c r="C14" s="10" t="s">
        <v>124</v>
      </c>
      <c r="D14" s="10" t="s">
        <v>125</v>
      </c>
      <c r="E14" s="16" t="s">
        <v>126</v>
      </c>
      <c r="F14" s="10" t="s">
        <v>127</v>
      </c>
      <c r="G14" s="10" t="s">
        <v>60</v>
      </c>
      <c r="H14" s="10" t="s">
        <v>128</v>
      </c>
      <c r="I14" s="10" t="s">
        <v>129</v>
      </c>
      <c r="J14" s="8"/>
      <c r="K14" s="8"/>
      <c r="L14" s="8"/>
    </row>
    <row r="15" customFormat="false" ht="108" hidden="false" customHeight="true" outlineLevel="0" collapsed="false">
      <c r="A15" s="11" t="s">
        <v>130</v>
      </c>
      <c r="B15" s="10" t="s">
        <v>131</v>
      </c>
      <c r="C15" s="10" t="s">
        <v>132</v>
      </c>
      <c r="D15" s="10" t="s">
        <v>133</v>
      </c>
      <c r="E15" s="16" t="s">
        <v>134</v>
      </c>
      <c r="F15" s="10" t="s">
        <v>135</v>
      </c>
      <c r="G15" s="10" t="s">
        <v>60</v>
      </c>
      <c r="H15" s="10" t="s">
        <v>136</v>
      </c>
      <c r="I15" s="10" t="s">
        <v>137</v>
      </c>
      <c r="J15" s="8"/>
      <c r="K15" s="8"/>
      <c r="L15" s="8"/>
    </row>
    <row r="16" customFormat="false" ht="81.75" hidden="false" customHeight="true" outlineLevel="0" collapsed="false">
      <c r="A16" s="11" t="s">
        <v>138</v>
      </c>
      <c r="B16" s="10" t="s">
        <v>139</v>
      </c>
      <c r="C16" s="10" t="s">
        <v>140</v>
      </c>
      <c r="D16" s="10" t="s">
        <v>141</v>
      </c>
      <c r="E16" s="16" t="s">
        <v>142</v>
      </c>
      <c r="F16" s="10" t="s">
        <v>143</v>
      </c>
      <c r="G16" s="10" t="s">
        <v>60</v>
      </c>
      <c r="H16" s="10" t="s">
        <v>122</v>
      </c>
      <c r="I16" s="10" t="s">
        <v>144</v>
      </c>
      <c r="J16" s="8"/>
      <c r="K16" s="8"/>
      <c r="L16" s="8"/>
    </row>
    <row r="17" customFormat="false" ht="81.75" hidden="false" customHeight="true" outlineLevel="0" collapsed="false">
      <c r="A17" s="11" t="s">
        <v>145</v>
      </c>
      <c r="B17" s="10" t="s">
        <v>146</v>
      </c>
      <c r="C17" s="10" t="s">
        <v>147</v>
      </c>
      <c r="D17" s="10" t="s">
        <v>148</v>
      </c>
      <c r="E17" s="16" t="s">
        <v>149</v>
      </c>
      <c r="F17" s="10" t="s">
        <v>150</v>
      </c>
      <c r="G17" s="10" t="s">
        <v>60</v>
      </c>
      <c r="H17" s="10" t="s">
        <v>151</v>
      </c>
      <c r="I17" s="10" t="s">
        <v>152</v>
      </c>
      <c r="J17" s="8"/>
      <c r="K17" s="8"/>
      <c r="L17" s="8"/>
    </row>
    <row r="18" customFormat="false" ht="108" hidden="false" customHeight="true" outlineLevel="0" collapsed="false">
      <c r="A18" s="11" t="s">
        <v>153</v>
      </c>
      <c r="B18" s="10" t="s">
        <v>154</v>
      </c>
      <c r="C18" s="10" t="s">
        <v>155</v>
      </c>
      <c r="D18" s="10" t="s">
        <v>156</v>
      </c>
      <c r="E18" s="16" t="s">
        <v>157</v>
      </c>
      <c r="F18" s="10" t="s">
        <v>158</v>
      </c>
      <c r="G18" s="10" t="s">
        <v>60</v>
      </c>
      <c r="H18" s="10" t="s">
        <v>159</v>
      </c>
      <c r="I18" s="10" t="s">
        <v>160</v>
      </c>
      <c r="J18" s="8"/>
      <c r="K18" s="8"/>
      <c r="L18" s="8"/>
    </row>
    <row r="19" customFormat="false" ht="108" hidden="false" customHeight="true" outlineLevel="0" collapsed="false">
      <c r="A19" s="11" t="s">
        <v>161</v>
      </c>
      <c r="B19" s="10" t="s">
        <v>162</v>
      </c>
      <c r="C19" s="10" t="s">
        <v>163</v>
      </c>
      <c r="D19" s="10" t="s">
        <v>164</v>
      </c>
      <c r="E19" s="16" t="s">
        <v>165</v>
      </c>
      <c r="F19" s="10" t="s">
        <v>166</v>
      </c>
      <c r="G19" s="10" t="s">
        <v>60</v>
      </c>
      <c r="H19" s="10" t="s">
        <v>167</v>
      </c>
      <c r="I19" s="10" t="s">
        <v>168</v>
      </c>
      <c r="J19" s="8"/>
      <c r="K19" s="8"/>
      <c r="L19" s="8"/>
    </row>
    <row r="20" customFormat="false" ht="69" hidden="false" customHeight="true" outlineLevel="0" collapsed="false">
      <c r="A20" s="11" t="s">
        <v>169</v>
      </c>
      <c r="B20" s="10" t="s">
        <v>170</v>
      </c>
      <c r="C20" s="10" t="s">
        <v>171</v>
      </c>
      <c r="D20" s="10" t="s">
        <v>172</v>
      </c>
      <c r="E20" s="16" t="s">
        <v>173</v>
      </c>
      <c r="F20" s="10" t="s">
        <v>174</v>
      </c>
      <c r="G20" s="10" t="s">
        <v>60</v>
      </c>
      <c r="H20" s="10" t="s">
        <v>153</v>
      </c>
      <c r="I20" s="10" t="s">
        <v>175</v>
      </c>
      <c r="J20" s="8"/>
      <c r="K20" s="8"/>
      <c r="L20" s="8"/>
    </row>
    <row r="21" customFormat="false" ht="55.5" hidden="false" customHeight="true" outlineLevel="0" collapsed="false">
      <c r="A21" s="11" t="s">
        <v>176</v>
      </c>
      <c r="B21" s="10" t="s">
        <v>177</v>
      </c>
      <c r="C21" s="10" t="s">
        <v>178</v>
      </c>
      <c r="D21" s="10" t="s">
        <v>179</v>
      </c>
      <c r="E21" s="16" t="s">
        <v>180</v>
      </c>
      <c r="F21" s="10" t="s">
        <v>181</v>
      </c>
      <c r="G21" s="10" t="s">
        <v>60</v>
      </c>
      <c r="H21" s="10" t="s">
        <v>169</v>
      </c>
      <c r="I21" s="10" t="s">
        <v>182</v>
      </c>
      <c r="J21" s="8"/>
      <c r="K21" s="8"/>
      <c r="L21" s="8"/>
    </row>
    <row r="22" customFormat="false" ht="55.5" hidden="false" customHeight="true" outlineLevel="0" collapsed="false">
      <c r="A22" s="11" t="s">
        <v>183</v>
      </c>
      <c r="B22" s="10" t="s">
        <v>184</v>
      </c>
      <c r="C22" s="10" t="s">
        <v>185</v>
      </c>
      <c r="D22" s="10" t="s">
        <v>186</v>
      </c>
      <c r="E22" s="16" t="s">
        <v>187</v>
      </c>
      <c r="F22" s="10" t="s">
        <v>188</v>
      </c>
      <c r="G22" s="10" t="s">
        <v>60</v>
      </c>
      <c r="H22" s="10"/>
      <c r="I22" s="10" t="s">
        <v>189</v>
      </c>
      <c r="J22" s="8"/>
      <c r="K22" s="8"/>
      <c r="L22" s="8"/>
    </row>
    <row r="23" customFormat="false" ht="94.5" hidden="false" customHeight="true" outlineLevel="0" collapsed="false">
      <c r="A23" s="11" t="s">
        <v>190</v>
      </c>
      <c r="B23" s="10" t="s">
        <v>191</v>
      </c>
      <c r="C23" s="10" t="s">
        <v>192</v>
      </c>
      <c r="D23" s="10" t="s">
        <v>193</v>
      </c>
      <c r="E23" s="16" t="s">
        <v>194</v>
      </c>
      <c r="F23" s="10" t="s">
        <v>195</v>
      </c>
      <c r="G23" s="10" t="s">
        <v>60</v>
      </c>
      <c r="H23" s="10"/>
      <c r="I23" s="10" t="s">
        <v>196</v>
      </c>
      <c r="J23" s="8"/>
      <c r="K23" s="8"/>
      <c r="L23" s="8"/>
    </row>
    <row r="24" customFormat="false" ht="120.75" hidden="false" customHeight="true" outlineLevel="0" collapsed="false">
      <c r="A24" s="11" t="s">
        <v>197</v>
      </c>
      <c r="B24" s="10" t="s">
        <v>198</v>
      </c>
      <c r="C24" s="10" t="s">
        <v>199</v>
      </c>
      <c r="D24" s="10" t="s">
        <v>200</v>
      </c>
      <c r="E24" s="16" t="s">
        <v>201</v>
      </c>
      <c r="F24" s="10" t="s">
        <v>202</v>
      </c>
      <c r="G24" s="10" t="s">
        <v>60</v>
      </c>
      <c r="H24" s="10" t="s">
        <v>203</v>
      </c>
      <c r="I24" s="10" t="s">
        <v>204</v>
      </c>
      <c r="J24" s="8"/>
      <c r="K24" s="8"/>
      <c r="L24" s="8"/>
    </row>
    <row r="25" customFormat="false" ht="108" hidden="false" customHeight="true" outlineLevel="0" collapsed="false">
      <c r="A25" s="11" t="s">
        <v>205</v>
      </c>
      <c r="B25" s="10" t="s">
        <v>206</v>
      </c>
      <c r="C25" s="10" t="s">
        <v>207</v>
      </c>
      <c r="D25" s="10" t="s">
        <v>208</v>
      </c>
      <c r="E25" s="16" t="s">
        <v>180</v>
      </c>
      <c r="F25" s="10" t="s">
        <v>209</v>
      </c>
      <c r="G25" s="10" t="s">
        <v>60</v>
      </c>
      <c r="H25" s="10" t="s">
        <v>210</v>
      </c>
      <c r="I25" s="10" t="s">
        <v>211</v>
      </c>
      <c r="J25" s="8"/>
      <c r="K25" s="8"/>
      <c r="L25" s="8"/>
    </row>
    <row r="26" customFormat="false" ht="55.5" hidden="false" customHeight="true" outlineLevel="0" collapsed="false">
      <c r="A26" s="11" t="s">
        <v>212</v>
      </c>
      <c r="B26" s="10" t="s">
        <v>213</v>
      </c>
      <c r="C26" s="10" t="s">
        <v>214</v>
      </c>
      <c r="D26" s="10" t="s">
        <v>215</v>
      </c>
      <c r="E26" s="16" t="s">
        <v>180</v>
      </c>
      <c r="F26" s="10" t="s">
        <v>216</v>
      </c>
      <c r="G26" s="10" t="s">
        <v>60</v>
      </c>
      <c r="H26" s="10" t="s">
        <v>122</v>
      </c>
      <c r="I26" s="10" t="s">
        <v>217</v>
      </c>
      <c r="J26" s="8"/>
      <c r="K26" s="8"/>
      <c r="L26" s="8"/>
    </row>
    <row r="27" customFormat="false" ht="69" hidden="false" customHeight="true" outlineLevel="0" collapsed="false">
      <c r="A27" s="11" t="s">
        <v>218</v>
      </c>
      <c r="B27" s="10" t="s">
        <v>219</v>
      </c>
      <c r="C27" s="10" t="s">
        <v>220</v>
      </c>
      <c r="D27" s="10" t="s">
        <v>221</v>
      </c>
      <c r="E27" s="16" t="s">
        <v>180</v>
      </c>
      <c r="F27" s="10" t="s">
        <v>222</v>
      </c>
      <c r="G27" s="10" t="s">
        <v>60</v>
      </c>
      <c r="H27" s="10" t="s">
        <v>223</v>
      </c>
      <c r="I27" s="10" t="s">
        <v>224</v>
      </c>
      <c r="J27" s="8"/>
      <c r="K27" s="8"/>
      <c r="L27" s="8"/>
    </row>
    <row r="28" customFormat="false" ht="81.75" hidden="false" customHeight="true" outlineLevel="0" collapsed="false">
      <c r="A28" s="11" t="s">
        <v>225</v>
      </c>
      <c r="B28" s="10" t="s">
        <v>226</v>
      </c>
      <c r="C28" s="10" t="s">
        <v>227</v>
      </c>
      <c r="D28" s="10" t="s">
        <v>228</v>
      </c>
      <c r="E28" s="16" t="s">
        <v>229</v>
      </c>
      <c r="F28" s="10" t="s">
        <v>230</v>
      </c>
      <c r="G28" s="10" t="s">
        <v>60</v>
      </c>
      <c r="H28" s="10"/>
      <c r="I28" s="10" t="s">
        <v>231</v>
      </c>
      <c r="J28" s="8"/>
      <c r="K28" s="8"/>
      <c r="L28" s="8"/>
    </row>
    <row r="29" customFormat="false" ht="69" hidden="false" customHeight="true" outlineLevel="0" collapsed="false">
      <c r="A29" s="11" t="s">
        <v>232</v>
      </c>
      <c r="B29" s="10" t="s">
        <v>233</v>
      </c>
      <c r="C29" s="10" t="s">
        <v>234</v>
      </c>
      <c r="D29" s="10" t="s">
        <v>235</v>
      </c>
      <c r="E29" s="16" t="s">
        <v>180</v>
      </c>
      <c r="F29" s="10" t="s">
        <v>236</v>
      </c>
      <c r="G29" s="10" t="s">
        <v>60</v>
      </c>
      <c r="H29" s="10"/>
      <c r="I29" s="10" t="s">
        <v>237</v>
      </c>
      <c r="J29" s="8"/>
      <c r="K29" s="8"/>
      <c r="L29" s="8"/>
    </row>
    <row r="30" customFormat="false" ht="94.5" hidden="false" customHeight="true" outlineLevel="0" collapsed="false">
      <c r="A30" s="11" t="s">
        <v>238</v>
      </c>
      <c r="B30" s="10" t="s">
        <v>239</v>
      </c>
      <c r="C30" s="10" t="s">
        <v>240</v>
      </c>
      <c r="D30" s="10" t="s">
        <v>241</v>
      </c>
      <c r="E30" s="16" t="s">
        <v>242</v>
      </c>
      <c r="F30" s="10" t="s">
        <v>243</v>
      </c>
      <c r="G30" s="10" t="s">
        <v>60</v>
      </c>
      <c r="H30" s="10" t="s">
        <v>232</v>
      </c>
      <c r="I30" s="10" t="s">
        <v>244</v>
      </c>
      <c r="J30" s="8"/>
      <c r="K30" s="8"/>
      <c r="L30" s="8"/>
    </row>
    <row r="31" customFormat="false" ht="55.5" hidden="false" customHeight="true" outlineLevel="0" collapsed="false">
      <c r="A31" s="11" t="s">
        <v>245</v>
      </c>
      <c r="B31" s="10" t="s">
        <v>246</v>
      </c>
      <c r="C31" s="10" t="s">
        <v>247</v>
      </c>
      <c r="D31" s="10" t="s">
        <v>248</v>
      </c>
      <c r="E31" s="16" t="s">
        <v>180</v>
      </c>
      <c r="F31" s="10" t="s">
        <v>249</v>
      </c>
      <c r="G31" s="10" t="s">
        <v>60</v>
      </c>
      <c r="H31" s="10" t="s">
        <v>232</v>
      </c>
      <c r="I31" s="10" t="s">
        <v>250</v>
      </c>
      <c r="J31" s="8"/>
      <c r="K31" s="8"/>
      <c r="L31" s="8"/>
    </row>
    <row r="32" customFormat="false" ht="133.5" hidden="false" customHeight="true" outlineLevel="0" collapsed="false">
      <c r="A32" s="11" t="s">
        <v>251</v>
      </c>
      <c r="B32" s="10" t="s">
        <v>252</v>
      </c>
      <c r="C32" s="10" t="s">
        <v>253</v>
      </c>
      <c r="D32" s="10" t="s">
        <v>254</v>
      </c>
      <c r="E32" s="16" t="s">
        <v>255</v>
      </c>
      <c r="F32" s="10" t="s">
        <v>256</v>
      </c>
      <c r="G32" s="10" t="s">
        <v>257</v>
      </c>
      <c r="H32" s="10" t="s">
        <v>258</v>
      </c>
      <c r="I32" s="10" t="s">
        <v>259</v>
      </c>
      <c r="J32" s="8"/>
      <c r="K32" s="8"/>
      <c r="L32" s="8"/>
    </row>
    <row r="33" customFormat="false" ht="108" hidden="false" customHeight="true" outlineLevel="0" collapsed="false">
      <c r="A33" s="11" t="s">
        <v>260</v>
      </c>
      <c r="B33" s="10" t="s">
        <v>261</v>
      </c>
      <c r="C33" s="10" t="s">
        <v>262</v>
      </c>
      <c r="D33" s="10" t="s">
        <v>263</v>
      </c>
      <c r="E33" s="16" t="s">
        <v>264</v>
      </c>
      <c r="F33" s="10" t="s">
        <v>265</v>
      </c>
      <c r="G33" s="10" t="s">
        <v>257</v>
      </c>
      <c r="H33" s="10" t="s">
        <v>266</v>
      </c>
      <c r="I33" s="10" t="s">
        <v>267</v>
      </c>
      <c r="J33" s="8"/>
      <c r="K33" s="8"/>
      <c r="L33" s="8"/>
    </row>
    <row r="34" customFormat="false" ht="69" hidden="false" customHeight="true" outlineLevel="0" collapsed="false">
      <c r="A34" s="11" t="s">
        <v>268</v>
      </c>
      <c r="B34" s="10" t="s">
        <v>269</v>
      </c>
      <c r="C34" s="10" t="s">
        <v>270</v>
      </c>
      <c r="D34" s="10" t="s">
        <v>271</v>
      </c>
      <c r="E34" s="16" t="s">
        <v>272</v>
      </c>
      <c r="F34" s="10" t="s">
        <v>273</v>
      </c>
      <c r="G34" s="10" t="s">
        <v>257</v>
      </c>
      <c r="H34" s="10" t="s">
        <v>274</v>
      </c>
      <c r="I34" s="10" t="s">
        <v>275</v>
      </c>
      <c r="J34" s="8"/>
      <c r="K34" s="8"/>
      <c r="L34" s="8"/>
    </row>
    <row r="35" customFormat="false" ht="94.5" hidden="false" customHeight="true" outlineLevel="0" collapsed="false">
      <c r="A35" s="11" t="s">
        <v>276</v>
      </c>
      <c r="B35" s="10" t="s">
        <v>277</v>
      </c>
      <c r="C35" s="10" t="s">
        <v>278</v>
      </c>
      <c r="D35" s="10" t="s">
        <v>279</v>
      </c>
      <c r="E35" s="16" t="s">
        <v>180</v>
      </c>
      <c r="F35" s="10" t="s">
        <v>280</v>
      </c>
      <c r="G35" s="10" t="s">
        <v>257</v>
      </c>
      <c r="H35" s="10" t="s">
        <v>122</v>
      </c>
      <c r="I35" s="10" t="s">
        <v>281</v>
      </c>
      <c r="J35" s="8"/>
      <c r="K35" s="8"/>
      <c r="L35" s="8"/>
    </row>
    <row r="36" customFormat="false" ht="81.75" hidden="false" customHeight="true" outlineLevel="0" collapsed="false">
      <c r="A36" s="11" t="s">
        <v>282</v>
      </c>
      <c r="B36" s="10" t="s">
        <v>283</v>
      </c>
      <c r="C36" s="10" t="s">
        <v>284</v>
      </c>
      <c r="D36" s="10" t="s">
        <v>285</v>
      </c>
      <c r="E36" s="16" t="s">
        <v>286</v>
      </c>
      <c r="F36" s="10" t="s">
        <v>287</v>
      </c>
      <c r="G36" s="10" t="s">
        <v>257</v>
      </c>
      <c r="H36" s="10" t="s">
        <v>122</v>
      </c>
      <c r="I36" s="10" t="s">
        <v>288</v>
      </c>
      <c r="J36" s="8"/>
      <c r="K36" s="8"/>
      <c r="L36" s="8"/>
    </row>
    <row r="37" customFormat="false" ht="133.5" hidden="false" customHeight="true" outlineLevel="0" collapsed="false">
      <c r="A37" s="11" t="s">
        <v>289</v>
      </c>
      <c r="B37" s="10" t="s">
        <v>290</v>
      </c>
      <c r="C37" s="10" t="s">
        <v>291</v>
      </c>
      <c r="D37" s="10" t="s">
        <v>292</v>
      </c>
      <c r="E37" s="16" t="s">
        <v>293</v>
      </c>
      <c r="F37" s="10" t="s">
        <v>294</v>
      </c>
      <c r="G37" s="10" t="s">
        <v>257</v>
      </c>
      <c r="H37" s="10" t="s">
        <v>295</v>
      </c>
      <c r="I37" s="10" t="s">
        <v>296</v>
      </c>
      <c r="J37" s="8"/>
      <c r="K37" s="8"/>
      <c r="L37" s="8"/>
    </row>
    <row r="38" customFormat="false" ht="108" hidden="false" customHeight="true" outlineLevel="0" collapsed="false">
      <c r="A38" s="11" t="s">
        <v>297</v>
      </c>
      <c r="B38" s="10" t="s">
        <v>298</v>
      </c>
      <c r="C38" s="10" t="s">
        <v>299</v>
      </c>
      <c r="D38" s="10" t="s">
        <v>300</v>
      </c>
      <c r="E38" s="16" t="s">
        <v>301</v>
      </c>
      <c r="F38" s="10" t="s">
        <v>302</v>
      </c>
      <c r="G38" s="10" t="s">
        <v>257</v>
      </c>
      <c r="H38" s="10" t="s">
        <v>303</v>
      </c>
      <c r="I38" s="10" t="s">
        <v>304</v>
      </c>
      <c r="J38" s="8"/>
      <c r="K38" s="8"/>
      <c r="L38" s="8"/>
    </row>
    <row r="39" customFormat="false" ht="120.75" hidden="false" customHeight="true" outlineLevel="0" collapsed="false">
      <c r="A39" s="11" t="s">
        <v>305</v>
      </c>
      <c r="B39" s="10" t="s">
        <v>306</v>
      </c>
      <c r="C39" s="10" t="s">
        <v>307</v>
      </c>
      <c r="D39" s="10" t="s">
        <v>308</v>
      </c>
      <c r="E39" s="16" t="s">
        <v>309</v>
      </c>
      <c r="F39" s="10" t="s">
        <v>310</v>
      </c>
      <c r="G39" s="10" t="s">
        <v>257</v>
      </c>
      <c r="H39" s="10" t="s">
        <v>297</v>
      </c>
      <c r="I39" s="10" t="s">
        <v>311</v>
      </c>
      <c r="J39" s="8"/>
      <c r="K39" s="8"/>
      <c r="L39" s="8"/>
    </row>
    <row r="40" customFormat="false" ht="94.5" hidden="false" customHeight="true" outlineLevel="0" collapsed="false">
      <c r="A40" s="11" t="s">
        <v>312</v>
      </c>
      <c r="B40" s="10" t="s">
        <v>313</v>
      </c>
      <c r="C40" s="10" t="s">
        <v>314</v>
      </c>
      <c r="D40" s="10" t="s">
        <v>315</v>
      </c>
      <c r="E40" s="16" t="s">
        <v>242</v>
      </c>
      <c r="F40" s="10" t="s">
        <v>316</v>
      </c>
      <c r="G40" s="10" t="s">
        <v>257</v>
      </c>
      <c r="H40" s="10" t="s">
        <v>317</v>
      </c>
      <c r="I40" s="10" t="s">
        <v>318</v>
      </c>
      <c r="J40" s="8"/>
      <c r="K40" s="8"/>
      <c r="L40" s="8"/>
    </row>
    <row r="41" customFormat="false" ht="94.5" hidden="false" customHeight="true" outlineLevel="0" collapsed="false">
      <c r="A41" s="11" t="s">
        <v>319</v>
      </c>
      <c r="B41" s="10" t="s">
        <v>320</v>
      </c>
      <c r="C41" s="10" t="s">
        <v>321</v>
      </c>
      <c r="D41" s="10" t="s">
        <v>322</v>
      </c>
      <c r="E41" s="16" t="s">
        <v>323</v>
      </c>
      <c r="F41" s="10" t="s">
        <v>324</v>
      </c>
      <c r="G41" s="10" t="s">
        <v>257</v>
      </c>
      <c r="H41" s="10" t="s">
        <v>325</v>
      </c>
      <c r="I41" s="10" t="s">
        <v>326</v>
      </c>
      <c r="J41" s="8"/>
      <c r="K41" s="8"/>
      <c r="L41" s="8"/>
    </row>
    <row r="42" customFormat="false" ht="81.75" hidden="false" customHeight="true" outlineLevel="0" collapsed="false">
      <c r="A42" s="11" t="s">
        <v>327</v>
      </c>
      <c r="B42" s="10" t="s">
        <v>328</v>
      </c>
      <c r="C42" s="10" t="s">
        <v>329</v>
      </c>
      <c r="D42" s="10" t="s">
        <v>330</v>
      </c>
      <c r="E42" s="16" t="s">
        <v>331</v>
      </c>
      <c r="F42" s="10" t="s">
        <v>332</v>
      </c>
      <c r="G42" s="10" t="s">
        <v>257</v>
      </c>
      <c r="H42" s="10" t="s">
        <v>205</v>
      </c>
      <c r="I42" s="10" t="s">
        <v>333</v>
      </c>
      <c r="J42" s="8"/>
      <c r="K42" s="8"/>
      <c r="L42" s="8"/>
    </row>
    <row r="43" customFormat="false" ht="108" hidden="false" customHeight="true" outlineLevel="0" collapsed="false">
      <c r="A43" s="11" t="s">
        <v>334</v>
      </c>
      <c r="B43" s="10" t="s">
        <v>335</v>
      </c>
      <c r="C43" s="10" t="s">
        <v>336</v>
      </c>
      <c r="D43" s="10" t="s">
        <v>337</v>
      </c>
      <c r="E43" s="16" t="s">
        <v>180</v>
      </c>
      <c r="F43" s="10" t="s">
        <v>338</v>
      </c>
      <c r="G43" s="10" t="s">
        <v>257</v>
      </c>
      <c r="H43" s="10" t="s">
        <v>339</v>
      </c>
      <c r="I43" s="10" t="s">
        <v>340</v>
      </c>
      <c r="J43" s="8"/>
      <c r="K43" s="8"/>
      <c r="L43" s="8"/>
    </row>
    <row r="44" customFormat="false" ht="108" hidden="false" customHeight="true" outlineLevel="0" collapsed="false">
      <c r="A44" s="11" t="s">
        <v>341</v>
      </c>
      <c r="B44" s="10" t="s">
        <v>342</v>
      </c>
      <c r="C44" s="10" t="s">
        <v>343</v>
      </c>
      <c r="D44" s="10" t="s">
        <v>344</v>
      </c>
      <c r="E44" s="16" t="s">
        <v>345</v>
      </c>
      <c r="F44" s="10" t="s">
        <v>346</v>
      </c>
      <c r="G44" s="10" t="s">
        <v>257</v>
      </c>
      <c r="H44" s="10" t="s">
        <v>347</v>
      </c>
      <c r="I44" s="10" t="s">
        <v>348</v>
      </c>
      <c r="J44" s="8"/>
      <c r="K44" s="8"/>
      <c r="L44" s="8"/>
    </row>
    <row r="45" customFormat="false" ht="94.5" hidden="false" customHeight="true" outlineLevel="0" collapsed="false">
      <c r="A45" s="11" t="s">
        <v>349</v>
      </c>
      <c r="B45" s="10" t="s">
        <v>350</v>
      </c>
      <c r="C45" s="10" t="s">
        <v>351</v>
      </c>
      <c r="D45" s="10" t="s">
        <v>352</v>
      </c>
      <c r="E45" s="16" t="s">
        <v>353</v>
      </c>
      <c r="F45" s="10" t="s">
        <v>354</v>
      </c>
      <c r="G45" s="10" t="s">
        <v>257</v>
      </c>
      <c r="H45" s="10" t="s">
        <v>122</v>
      </c>
      <c r="I45" s="10" t="s">
        <v>355</v>
      </c>
      <c r="J45" s="8"/>
      <c r="K45" s="8"/>
      <c r="L45" s="8"/>
    </row>
    <row r="46" customFormat="false" ht="108" hidden="false" customHeight="true" outlineLevel="0" collapsed="false">
      <c r="A46" s="11" t="s">
        <v>356</v>
      </c>
      <c r="B46" s="10" t="s">
        <v>357</v>
      </c>
      <c r="C46" s="10" t="s">
        <v>358</v>
      </c>
      <c r="D46" s="10" t="s">
        <v>359</v>
      </c>
      <c r="E46" s="16" t="s">
        <v>149</v>
      </c>
      <c r="F46" s="10" t="s">
        <v>360</v>
      </c>
      <c r="G46" s="10" t="s">
        <v>257</v>
      </c>
      <c r="H46" s="10" t="s">
        <v>361</v>
      </c>
      <c r="I46" s="10" t="s">
        <v>362</v>
      </c>
      <c r="J46" s="8"/>
      <c r="K46" s="8"/>
      <c r="L46" s="8"/>
    </row>
    <row r="47" customFormat="false" ht="42.75" hidden="false" customHeight="true" outlineLevel="0" collapsed="false">
      <c r="A47" s="11" t="s">
        <v>363</v>
      </c>
      <c r="B47" s="10" t="s">
        <v>364</v>
      </c>
      <c r="C47" s="10" t="s">
        <v>365</v>
      </c>
      <c r="D47" s="10" t="s">
        <v>366</v>
      </c>
      <c r="E47" s="16" t="s">
        <v>180</v>
      </c>
      <c r="F47" s="10" t="s">
        <v>367</v>
      </c>
      <c r="G47" s="10" t="s">
        <v>257</v>
      </c>
      <c r="H47" s="10" t="s">
        <v>368</v>
      </c>
      <c r="I47" s="10" t="s">
        <v>369</v>
      </c>
      <c r="J47" s="8"/>
      <c r="K47" s="8"/>
      <c r="L47" s="8"/>
    </row>
    <row r="48" customFormat="false" ht="81.75" hidden="false" customHeight="true" outlineLevel="0" collapsed="false">
      <c r="A48" s="11" t="s">
        <v>370</v>
      </c>
      <c r="B48" s="10" t="s">
        <v>371</v>
      </c>
      <c r="C48" s="10" t="s">
        <v>372</v>
      </c>
      <c r="D48" s="10" t="s">
        <v>373</v>
      </c>
      <c r="E48" s="16" t="s">
        <v>374</v>
      </c>
      <c r="F48" s="10" t="s">
        <v>375</v>
      </c>
      <c r="G48" s="10" t="s">
        <v>257</v>
      </c>
      <c r="H48" s="10" t="s">
        <v>376</v>
      </c>
      <c r="I48" s="10" t="s">
        <v>377</v>
      </c>
      <c r="J48" s="8"/>
      <c r="K48" s="8"/>
      <c r="L48" s="8"/>
    </row>
    <row r="49" customFormat="false" ht="81.75" hidden="false" customHeight="true" outlineLevel="0" collapsed="false">
      <c r="A49" s="11" t="s">
        <v>378</v>
      </c>
      <c r="B49" s="10" t="s">
        <v>379</v>
      </c>
      <c r="C49" s="10" t="s">
        <v>380</v>
      </c>
      <c r="D49" s="10" t="s">
        <v>381</v>
      </c>
      <c r="E49" s="16" t="s">
        <v>180</v>
      </c>
      <c r="F49" s="10" t="s">
        <v>382</v>
      </c>
      <c r="G49" s="10" t="s">
        <v>257</v>
      </c>
      <c r="H49" s="10" t="s">
        <v>383</v>
      </c>
      <c r="I49" s="10" t="s">
        <v>384</v>
      </c>
      <c r="J49" s="8"/>
      <c r="K49" s="8"/>
      <c r="L49" s="8"/>
    </row>
    <row r="50" customFormat="false" ht="147" hidden="false" customHeight="true" outlineLevel="0" collapsed="false">
      <c r="A50" s="11" t="s">
        <v>385</v>
      </c>
      <c r="B50" s="10" t="s">
        <v>386</v>
      </c>
      <c r="C50" s="10" t="s">
        <v>387</v>
      </c>
      <c r="D50" s="10" t="s">
        <v>388</v>
      </c>
      <c r="E50" s="16" t="s">
        <v>389</v>
      </c>
      <c r="F50" s="10" t="s">
        <v>390</v>
      </c>
      <c r="G50" s="10" t="s">
        <v>257</v>
      </c>
      <c r="H50" s="10" t="s">
        <v>391</v>
      </c>
      <c r="I50" s="10" t="s">
        <v>392</v>
      </c>
      <c r="J50" s="8"/>
      <c r="K50" s="8"/>
      <c r="L50" s="8"/>
    </row>
    <row r="51" customFormat="false" ht="81.75" hidden="false" customHeight="true" outlineLevel="0" collapsed="false">
      <c r="A51" s="11" t="s">
        <v>393</v>
      </c>
      <c r="B51" s="10" t="s">
        <v>394</v>
      </c>
      <c r="C51" s="10" t="s">
        <v>395</v>
      </c>
      <c r="D51" s="10" t="s">
        <v>396</v>
      </c>
      <c r="E51" s="16" t="s">
        <v>397</v>
      </c>
      <c r="F51" s="10" t="s">
        <v>398</v>
      </c>
      <c r="G51" s="10" t="s">
        <v>257</v>
      </c>
      <c r="H51" s="10"/>
      <c r="I51" s="10" t="s">
        <v>399</v>
      </c>
      <c r="J51" s="8"/>
      <c r="K51" s="8"/>
      <c r="L51" s="8"/>
    </row>
    <row r="52" customFormat="false" ht="120.75" hidden="false" customHeight="true" outlineLevel="0" collapsed="false">
      <c r="A52" s="11" t="s">
        <v>400</v>
      </c>
      <c r="B52" s="10" t="s">
        <v>401</v>
      </c>
      <c r="C52" s="10" t="s">
        <v>402</v>
      </c>
      <c r="D52" s="10" t="s">
        <v>403</v>
      </c>
      <c r="E52" s="16" t="s">
        <v>404</v>
      </c>
      <c r="F52" s="10" t="s">
        <v>405</v>
      </c>
      <c r="G52" s="10" t="s">
        <v>406</v>
      </c>
      <c r="H52" s="10" t="s">
        <v>407</v>
      </c>
      <c r="I52" s="10" t="s">
        <v>408</v>
      </c>
      <c r="J52" s="8"/>
      <c r="K52" s="8"/>
      <c r="L52" s="8"/>
    </row>
    <row r="53" customFormat="false" ht="69" hidden="false" customHeight="true" outlineLevel="0" collapsed="false">
      <c r="A53" s="11" t="s">
        <v>409</v>
      </c>
      <c r="B53" s="10" t="s">
        <v>410</v>
      </c>
      <c r="C53" s="10" t="s">
        <v>411</v>
      </c>
      <c r="D53" s="10" t="s">
        <v>412</v>
      </c>
      <c r="E53" s="16" t="s">
        <v>180</v>
      </c>
      <c r="F53" s="10" t="s">
        <v>413</v>
      </c>
      <c r="G53" s="10" t="s">
        <v>414</v>
      </c>
      <c r="H53" s="10"/>
      <c r="I53" s="10" t="s">
        <v>415</v>
      </c>
      <c r="J53" s="8"/>
      <c r="K53" s="8"/>
      <c r="L53" s="8"/>
    </row>
    <row r="54" customFormat="false" ht="81.75" hidden="false" customHeight="true" outlineLevel="0" collapsed="false">
      <c r="A54" s="11" t="s">
        <v>416</v>
      </c>
      <c r="B54" s="10" t="s">
        <v>417</v>
      </c>
      <c r="C54" s="10" t="s">
        <v>418</v>
      </c>
      <c r="D54" s="10" t="s">
        <v>419</v>
      </c>
      <c r="E54" s="16" t="s">
        <v>180</v>
      </c>
      <c r="F54" s="10" t="s">
        <v>420</v>
      </c>
      <c r="G54" s="10" t="s">
        <v>414</v>
      </c>
      <c r="H54" s="10" t="s">
        <v>421</v>
      </c>
      <c r="I54" s="10" t="s">
        <v>422</v>
      </c>
      <c r="J54" s="8"/>
      <c r="K54" s="8"/>
      <c r="L54" s="8"/>
    </row>
    <row r="55" customFormat="false" ht="94.5" hidden="false" customHeight="true" outlineLevel="0" collapsed="false">
      <c r="A55" s="11" t="s">
        <v>423</v>
      </c>
      <c r="B55" s="10" t="s">
        <v>424</v>
      </c>
      <c r="C55" s="10" t="s">
        <v>425</v>
      </c>
      <c r="D55" s="10" t="s">
        <v>426</v>
      </c>
      <c r="E55" s="16" t="s">
        <v>427</v>
      </c>
      <c r="F55" s="10" t="s">
        <v>428</v>
      </c>
      <c r="G55" s="10" t="s">
        <v>414</v>
      </c>
      <c r="H55" s="10" t="s">
        <v>429</v>
      </c>
      <c r="I55" s="10" t="s">
        <v>430</v>
      </c>
      <c r="J55" s="8"/>
      <c r="K55" s="8"/>
      <c r="L55" s="8"/>
    </row>
    <row r="56" customFormat="false" ht="81.75" hidden="false" customHeight="true" outlineLevel="0" collapsed="false">
      <c r="A56" s="11" t="s">
        <v>431</v>
      </c>
      <c r="B56" s="10" t="s">
        <v>432</v>
      </c>
      <c r="C56" s="10" t="s">
        <v>433</v>
      </c>
      <c r="D56" s="10" t="s">
        <v>434</v>
      </c>
      <c r="E56" s="16" t="s">
        <v>435</v>
      </c>
      <c r="F56" s="10" t="s">
        <v>436</v>
      </c>
      <c r="G56" s="10" t="s">
        <v>414</v>
      </c>
      <c r="H56" s="10" t="s">
        <v>437</v>
      </c>
      <c r="I56" s="10" t="s">
        <v>438</v>
      </c>
      <c r="J56" s="8"/>
      <c r="K56" s="8"/>
      <c r="L56" s="8"/>
    </row>
    <row r="57" customFormat="false" ht="81.75" hidden="false" customHeight="true" outlineLevel="0" collapsed="false">
      <c r="A57" s="11" t="s">
        <v>439</v>
      </c>
      <c r="B57" s="10" t="s">
        <v>440</v>
      </c>
      <c r="C57" s="10" t="s">
        <v>441</v>
      </c>
      <c r="D57" s="10" t="s">
        <v>442</v>
      </c>
      <c r="E57" s="16" t="s">
        <v>443</v>
      </c>
      <c r="F57" s="10" t="s">
        <v>444</v>
      </c>
      <c r="G57" s="10" t="s">
        <v>414</v>
      </c>
      <c r="H57" s="10" t="s">
        <v>445</v>
      </c>
      <c r="I57" s="10" t="s">
        <v>446</v>
      </c>
      <c r="J57" s="8"/>
      <c r="K57" s="8"/>
      <c r="L57" s="8"/>
    </row>
    <row r="58" customFormat="false" ht="81.75" hidden="false" customHeight="true" outlineLevel="0" collapsed="false">
      <c r="A58" s="11" t="s">
        <v>447</v>
      </c>
      <c r="B58" s="10" t="s">
        <v>448</v>
      </c>
      <c r="C58" s="10" t="s">
        <v>449</v>
      </c>
      <c r="D58" s="10" t="s">
        <v>450</v>
      </c>
      <c r="E58" s="16" t="s">
        <v>451</v>
      </c>
      <c r="F58" s="10" t="s">
        <v>452</v>
      </c>
      <c r="G58" s="10" t="s">
        <v>414</v>
      </c>
      <c r="H58" s="10" t="s">
        <v>453</v>
      </c>
      <c r="I58" s="10" t="s">
        <v>454</v>
      </c>
      <c r="J58" s="8"/>
      <c r="K58" s="8"/>
      <c r="L58" s="8"/>
    </row>
    <row r="59" customFormat="false" ht="94.5" hidden="false" customHeight="true" outlineLevel="0" collapsed="false">
      <c r="A59" s="11" t="s">
        <v>455</v>
      </c>
      <c r="B59" s="10" t="s">
        <v>456</v>
      </c>
      <c r="C59" s="10" t="s">
        <v>457</v>
      </c>
      <c r="D59" s="10" t="s">
        <v>458</v>
      </c>
      <c r="E59" s="16" t="s">
        <v>459</v>
      </c>
      <c r="F59" s="10" t="s">
        <v>460</v>
      </c>
      <c r="G59" s="10" t="s">
        <v>414</v>
      </c>
      <c r="H59" s="10" t="s">
        <v>423</v>
      </c>
      <c r="I59" s="10" t="s">
        <v>461</v>
      </c>
      <c r="J59" s="8"/>
      <c r="K59" s="8"/>
      <c r="L59" s="8"/>
    </row>
    <row r="60" customFormat="false" ht="94.5" hidden="false" customHeight="true" outlineLevel="0" collapsed="false">
      <c r="A60" s="11" t="s">
        <v>462</v>
      </c>
      <c r="B60" s="10" t="s">
        <v>463</v>
      </c>
      <c r="C60" s="10" t="s">
        <v>464</v>
      </c>
      <c r="D60" s="10" t="s">
        <v>465</v>
      </c>
      <c r="E60" s="16" t="s">
        <v>466</v>
      </c>
      <c r="F60" s="10" t="s">
        <v>467</v>
      </c>
      <c r="G60" s="10" t="s">
        <v>414</v>
      </c>
      <c r="H60" s="10" t="s">
        <v>423</v>
      </c>
      <c r="I60" s="10" t="s">
        <v>468</v>
      </c>
      <c r="J60" s="8"/>
      <c r="K60" s="8"/>
      <c r="L60" s="8"/>
    </row>
    <row r="61" customFormat="false" ht="69" hidden="false" customHeight="true" outlineLevel="0" collapsed="false">
      <c r="A61" s="11" t="s">
        <v>469</v>
      </c>
      <c r="B61" s="10" t="s">
        <v>470</v>
      </c>
      <c r="C61" s="10" t="s">
        <v>471</v>
      </c>
      <c r="D61" s="10" t="s">
        <v>472</v>
      </c>
      <c r="E61" s="16" t="s">
        <v>473</v>
      </c>
      <c r="F61" s="10" t="s">
        <v>474</v>
      </c>
      <c r="G61" s="10" t="s">
        <v>414</v>
      </c>
      <c r="H61" s="10" t="s">
        <v>475</v>
      </c>
      <c r="I61" s="10" t="s">
        <v>476</v>
      </c>
      <c r="J61" s="8"/>
      <c r="K61" s="8"/>
      <c r="L61" s="8"/>
    </row>
    <row r="62" customFormat="false" ht="94.5" hidden="false" customHeight="true" outlineLevel="0" collapsed="false">
      <c r="A62" s="11" t="s">
        <v>477</v>
      </c>
      <c r="B62" s="10" t="s">
        <v>478</v>
      </c>
      <c r="C62" s="10" t="s">
        <v>479</v>
      </c>
      <c r="D62" s="10" t="s">
        <v>480</v>
      </c>
      <c r="E62" s="16" t="s">
        <v>481</v>
      </c>
      <c r="F62" s="10" t="s">
        <v>482</v>
      </c>
      <c r="G62" s="10" t="s">
        <v>483</v>
      </c>
      <c r="H62" s="10" t="s">
        <v>484</v>
      </c>
      <c r="I62" s="10" t="s">
        <v>485</v>
      </c>
      <c r="J62" s="8"/>
      <c r="K62" s="8"/>
      <c r="L62" s="8"/>
    </row>
    <row r="63" customFormat="false" ht="55.5" hidden="false" customHeight="true" outlineLevel="0" collapsed="false">
      <c r="A63" s="11" t="s">
        <v>486</v>
      </c>
      <c r="B63" s="10" t="s">
        <v>487</v>
      </c>
      <c r="C63" s="10" t="s">
        <v>488</v>
      </c>
      <c r="D63" s="10" t="s">
        <v>489</v>
      </c>
      <c r="E63" s="16" t="s">
        <v>490</v>
      </c>
      <c r="F63" s="10" t="s">
        <v>491</v>
      </c>
      <c r="G63" s="10" t="s">
        <v>483</v>
      </c>
      <c r="H63" s="10" t="s">
        <v>138</v>
      </c>
      <c r="I63" s="10" t="s">
        <v>492</v>
      </c>
      <c r="J63" s="8"/>
      <c r="K63" s="8"/>
      <c r="L63" s="8"/>
    </row>
    <row r="64" customFormat="false" ht="55.5" hidden="false" customHeight="true" outlineLevel="0" collapsed="false">
      <c r="A64" s="11" t="s">
        <v>493</v>
      </c>
      <c r="B64" s="10" t="s">
        <v>494</v>
      </c>
      <c r="C64" s="10" t="s">
        <v>495</v>
      </c>
      <c r="D64" s="10" t="s">
        <v>496</v>
      </c>
      <c r="E64" s="16" t="s">
        <v>497</v>
      </c>
      <c r="F64" s="10" t="s">
        <v>498</v>
      </c>
      <c r="G64" s="10" t="s">
        <v>483</v>
      </c>
      <c r="H64" s="10" t="s">
        <v>54</v>
      </c>
      <c r="I64" s="10" t="s">
        <v>499</v>
      </c>
      <c r="J64" s="8"/>
      <c r="K64" s="8"/>
      <c r="L64" s="8"/>
    </row>
    <row r="65" customFormat="false" ht="133.5" hidden="false" customHeight="true" outlineLevel="0" collapsed="false">
      <c r="A65" s="11" t="s">
        <v>500</v>
      </c>
      <c r="B65" s="10" t="s">
        <v>501</v>
      </c>
      <c r="C65" s="10" t="s">
        <v>502</v>
      </c>
      <c r="D65" s="10" t="s">
        <v>503</v>
      </c>
      <c r="E65" s="16" t="s">
        <v>504</v>
      </c>
      <c r="F65" s="10" t="s">
        <v>505</v>
      </c>
      <c r="G65" s="10" t="s">
        <v>483</v>
      </c>
      <c r="H65" s="10" t="s">
        <v>506</v>
      </c>
      <c r="I65" s="10" t="s">
        <v>507</v>
      </c>
      <c r="J65" s="8"/>
      <c r="K65" s="8"/>
      <c r="L65" s="8"/>
    </row>
    <row r="66" customFormat="false" ht="120.75" hidden="false" customHeight="true" outlineLevel="0" collapsed="false">
      <c r="A66" s="11" t="s">
        <v>508</v>
      </c>
      <c r="B66" s="10" t="s">
        <v>509</v>
      </c>
      <c r="C66" s="10" t="s">
        <v>510</v>
      </c>
      <c r="D66" s="10" t="s">
        <v>511</v>
      </c>
      <c r="E66" s="16" t="s">
        <v>512</v>
      </c>
      <c r="F66" s="10" t="s">
        <v>513</v>
      </c>
      <c r="G66" s="10" t="s">
        <v>483</v>
      </c>
      <c r="H66" s="10" t="s">
        <v>514</v>
      </c>
      <c r="I66" s="10" t="s">
        <v>515</v>
      </c>
      <c r="J66" s="8"/>
      <c r="K66" s="8"/>
      <c r="L66" s="8"/>
    </row>
    <row r="67" customFormat="false" ht="81.75" hidden="false" customHeight="true" outlineLevel="0" collapsed="false">
      <c r="A67" s="11" t="s">
        <v>516</v>
      </c>
      <c r="B67" s="10" t="s">
        <v>517</v>
      </c>
      <c r="C67" s="10" t="s">
        <v>518</v>
      </c>
      <c r="D67" s="10" t="s">
        <v>519</v>
      </c>
      <c r="E67" s="16" t="s">
        <v>520</v>
      </c>
      <c r="F67" s="10" t="s">
        <v>521</v>
      </c>
      <c r="G67" s="10" t="s">
        <v>483</v>
      </c>
      <c r="H67" s="10"/>
      <c r="I67" s="10" t="s">
        <v>522</v>
      </c>
      <c r="J67" s="8"/>
      <c r="K67" s="8"/>
      <c r="L67" s="8"/>
    </row>
    <row r="68" customFormat="false" ht="94.5" hidden="false" customHeight="true" outlineLevel="0" collapsed="false">
      <c r="A68" s="11" t="s">
        <v>523</v>
      </c>
      <c r="B68" s="10" t="s">
        <v>524</v>
      </c>
      <c r="C68" s="10" t="s">
        <v>525</v>
      </c>
      <c r="D68" s="10" t="s">
        <v>526</v>
      </c>
      <c r="E68" s="16" t="s">
        <v>527</v>
      </c>
      <c r="F68" s="10" t="s">
        <v>528</v>
      </c>
      <c r="G68" s="10" t="s">
        <v>483</v>
      </c>
      <c r="H68" s="10"/>
      <c r="I68" s="10" t="s">
        <v>529</v>
      </c>
      <c r="J68" s="8"/>
      <c r="K68" s="8"/>
      <c r="L68" s="8"/>
    </row>
  </sheetData>
  <autoFilter ref="A4:L68"/>
  <conditionalFormatting sqref="J5:J68">
    <cfRule type="cellIs" priority="2" operator="equal" aboveAverage="0" equalAverage="0" bottom="0" percent="0" rank="0" text="" dxfId="1">
      <formula>"Approve"</formula>
    </cfRule>
    <cfRule type="cellIs" priority="3" operator="equal" aboveAverage="0" equalAverage="0" bottom="0" percent="0" rank="0" text="" dxfId="0">
      <formula>"Approve with changes"</formula>
    </cfRule>
    <cfRule type="cellIs" priority="4" operator="equal" aboveAverage="0" equalAverage="0" bottom="0" percent="0" rank="0" text="" dxfId="0">
      <formula>"Defer"</formula>
    </cfRule>
    <cfRule type="cellIs" priority="5" operator="equal" aboveAverage="0" equalAverage="0" bottom="0" percent="0" rank="0" text="" dxfId="0">
      <formula>"Need more info"</formula>
    </cfRule>
    <cfRule type="cellIs" priority="6" operator="equal" aboveAverage="0" equalAverage="0" bottom="0" percent="0" rank="0" text="" dxfId="7">
      <formula>"Reject"</formula>
    </cfRule>
  </conditionalFormatting>
  <dataValidations count="1">
    <dataValidation allowBlank="true" error="Pick a value from the list." errorStyle="stop" errorTitle="Invalid entry" operator="between" prompt="Pick one: Approve / Approve with changes / Reject / Defer / Need more info" promptTitle="Your response" showDropDown="false" showErrorMessage="true" showInputMessage="false" sqref="J5:J68" type="list">
      <formula1>"Approve,Approve with changes,Reject,Defer,Need more info"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18"/>
    <col collapsed="false" customWidth="true" hidden="false" outlineLevel="0" max="4" min="4" style="0" width="24"/>
    <col collapsed="false" customWidth="true" hidden="false" outlineLevel="0" max="5" min="5" style="0" width="18"/>
    <col collapsed="false" customWidth="true" hidden="false" outlineLevel="0" max="6" min="6" style="0" width="30"/>
    <col collapsed="false" customWidth="true" hidden="false" outlineLevel="0" max="7" min="7" style="0" width="60"/>
    <col collapsed="false" customWidth="true" hidden="false" outlineLevel="0" max="8" min="8" style="0" width="28"/>
    <col collapsed="false" customWidth="true" hidden="false" outlineLevel="0" max="9" min="9" style="0" width="18"/>
    <col collapsed="false" customWidth="true" hidden="false" outlineLevel="0" max="10" min="10" style="0" width="30"/>
    <col collapsed="false" customWidth="true" hidden="false" outlineLevel="0" max="11" min="11" style="0" width="36"/>
  </cols>
  <sheetData>
    <row r="1" customFormat="false" ht="17.35" hidden="false" customHeight="false" outlineLevel="0" collapsed="false">
      <c r="A1" s="1" t="s">
        <v>530</v>
      </c>
    </row>
    <row r="2" customFormat="false" ht="15" hidden="false" customHeight="false" outlineLevel="0" collapsed="false">
      <c r="A2" s="15" t="s">
        <v>531</v>
      </c>
    </row>
    <row r="4" customFormat="false" ht="15" hidden="false" customHeight="false" outlineLevel="0" collapsed="false">
      <c r="A4" s="9" t="s">
        <v>10</v>
      </c>
      <c r="B4" s="9" t="s">
        <v>532</v>
      </c>
      <c r="C4" s="9" t="s">
        <v>533</v>
      </c>
      <c r="D4" s="9" t="s">
        <v>534</v>
      </c>
      <c r="E4" s="9" t="s">
        <v>535</v>
      </c>
      <c r="F4" s="9" t="s">
        <v>536</v>
      </c>
      <c r="G4" s="9" t="s">
        <v>537</v>
      </c>
      <c r="H4" s="9" t="s">
        <v>53</v>
      </c>
      <c r="I4" s="9" t="s">
        <v>16</v>
      </c>
      <c r="J4" s="9" t="s">
        <v>18</v>
      </c>
      <c r="K4" s="9" t="s">
        <v>20</v>
      </c>
    </row>
    <row r="5" customFormat="false" ht="108" hidden="false" customHeight="true" outlineLevel="0" collapsed="false">
      <c r="A5" s="11" t="s">
        <v>538</v>
      </c>
      <c r="B5" s="10" t="s">
        <v>539</v>
      </c>
      <c r="C5" s="16" t="s">
        <v>540</v>
      </c>
      <c r="D5" s="10" t="s">
        <v>541</v>
      </c>
      <c r="E5" s="10" t="s">
        <v>542</v>
      </c>
      <c r="F5" s="10" t="s">
        <v>543</v>
      </c>
      <c r="G5" s="10" t="s">
        <v>544</v>
      </c>
      <c r="H5" s="10" t="s">
        <v>545</v>
      </c>
      <c r="I5" s="8"/>
      <c r="J5" s="8"/>
      <c r="K5" s="8"/>
    </row>
    <row r="6" customFormat="false" ht="42.75" hidden="false" customHeight="true" outlineLevel="0" collapsed="false">
      <c r="A6" s="11" t="s">
        <v>546</v>
      </c>
      <c r="B6" s="10" t="s">
        <v>547</v>
      </c>
      <c r="C6" s="16" t="s">
        <v>548</v>
      </c>
      <c r="D6" s="10" t="s">
        <v>549</v>
      </c>
      <c r="E6" s="10" t="s">
        <v>550</v>
      </c>
      <c r="F6" s="10" t="s">
        <v>551</v>
      </c>
      <c r="G6" s="10" t="s">
        <v>552</v>
      </c>
      <c r="H6" s="10" t="s">
        <v>553</v>
      </c>
      <c r="I6" s="8"/>
      <c r="J6" s="8"/>
      <c r="K6" s="8"/>
    </row>
    <row r="7" customFormat="false" ht="94.5" hidden="false" customHeight="true" outlineLevel="0" collapsed="false">
      <c r="A7" s="11" t="s">
        <v>554</v>
      </c>
      <c r="B7" s="10" t="s">
        <v>555</v>
      </c>
      <c r="C7" s="16" t="s">
        <v>556</v>
      </c>
      <c r="D7" s="10" t="s">
        <v>557</v>
      </c>
      <c r="E7" s="10" t="s">
        <v>558</v>
      </c>
      <c r="F7" s="10" t="s">
        <v>559</v>
      </c>
      <c r="G7" s="10" t="s">
        <v>560</v>
      </c>
      <c r="H7" s="10" t="s">
        <v>561</v>
      </c>
      <c r="I7" s="8"/>
      <c r="J7" s="8"/>
      <c r="K7" s="8"/>
    </row>
    <row r="8" customFormat="false" ht="94.5" hidden="false" customHeight="true" outlineLevel="0" collapsed="false">
      <c r="A8" s="11" t="s">
        <v>562</v>
      </c>
      <c r="B8" s="10" t="s">
        <v>563</v>
      </c>
      <c r="C8" s="16" t="s">
        <v>556</v>
      </c>
      <c r="D8" s="10" t="s">
        <v>564</v>
      </c>
      <c r="E8" s="10" t="s">
        <v>565</v>
      </c>
      <c r="F8" s="10" t="s">
        <v>566</v>
      </c>
      <c r="G8" s="10" t="s">
        <v>567</v>
      </c>
      <c r="H8" s="10" t="s">
        <v>568</v>
      </c>
      <c r="I8" s="8"/>
      <c r="J8" s="8"/>
      <c r="K8" s="8"/>
    </row>
    <row r="9" customFormat="false" ht="55.5" hidden="false" customHeight="true" outlineLevel="0" collapsed="false">
      <c r="A9" s="11" t="s">
        <v>569</v>
      </c>
      <c r="B9" s="10" t="s">
        <v>570</v>
      </c>
      <c r="C9" s="16" t="s">
        <v>548</v>
      </c>
      <c r="D9" s="10" t="s">
        <v>571</v>
      </c>
      <c r="E9" s="10" t="s">
        <v>572</v>
      </c>
      <c r="F9" s="10" t="s">
        <v>573</v>
      </c>
      <c r="G9" s="10" t="s">
        <v>574</v>
      </c>
      <c r="H9" s="10" t="s">
        <v>575</v>
      </c>
      <c r="I9" s="8"/>
      <c r="J9" s="8"/>
      <c r="K9" s="8"/>
    </row>
    <row r="10" customFormat="false" ht="69" hidden="false" customHeight="true" outlineLevel="0" collapsed="false">
      <c r="A10" s="11" t="s">
        <v>576</v>
      </c>
      <c r="B10" s="10" t="s">
        <v>577</v>
      </c>
      <c r="C10" s="16" t="s">
        <v>548</v>
      </c>
      <c r="D10" s="10" t="s">
        <v>578</v>
      </c>
      <c r="E10" s="10" t="s">
        <v>579</v>
      </c>
      <c r="F10" s="10" t="s">
        <v>580</v>
      </c>
      <c r="G10" s="10" t="s">
        <v>581</v>
      </c>
      <c r="H10" s="10" t="s">
        <v>582</v>
      </c>
      <c r="I10" s="8"/>
      <c r="J10" s="8"/>
      <c r="K10" s="8"/>
    </row>
    <row r="11" customFormat="false" ht="147" hidden="false" customHeight="true" outlineLevel="0" collapsed="false">
      <c r="A11" s="11" t="s">
        <v>583</v>
      </c>
      <c r="B11" s="10" t="s">
        <v>584</v>
      </c>
      <c r="C11" s="16" t="s">
        <v>540</v>
      </c>
      <c r="D11" s="10" t="s">
        <v>585</v>
      </c>
      <c r="E11" s="10" t="s">
        <v>586</v>
      </c>
      <c r="F11" s="10" t="s">
        <v>587</v>
      </c>
      <c r="G11" s="10" t="s">
        <v>588</v>
      </c>
      <c r="H11" s="10" t="s">
        <v>589</v>
      </c>
      <c r="I11" s="8"/>
      <c r="J11" s="8"/>
      <c r="K11" s="8"/>
    </row>
    <row r="12" customFormat="false" ht="69" hidden="false" customHeight="true" outlineLevel="0" collapsed="false">
      <c r="A12" s="11" t="s">
        <v>590</v>
      </c>
      <c r="B12" s="10" t="s">
        <v>591</v>
      </c>
      <c r="C12" s="16" t="s">
        <v>540</v>
      </c>
      <c r="D12" s="10" t="s">
        <v>592</v>
      </c>
      <c r="E12" s="10" t="s">
        <v>593</v>
      </c>
      <c r="F12" s="10" t="s">
        <v>594</v>
      </c>
      <c r="G12" s="10" t="s">
        <v>595</v>
      </c>
      <c r="H12" s="10" t="s">
        <v>596</v>
      </c>
      <c r="I12" s="8"/>
      <c r="J12" s="8"/>
      <c r="K12" s="8"/>
    </row>
    <row r="13" customFormat="false" ht="69" hidden="false" customHeight="true" outlineLevel="0" collapsed="false">
      <c r="A13" s="11" t="s">
        <v>597</v>
      </c>
      <c r="B13" s="10" t="s">
        <v>598</v>
      </c>
      <c r="C13" s="16" t="s">
        <v>540</v>
      </c>
      <c r="D13" s="10" t="s">
        <v>599</v>
      </c>
      <c r="E13" s="10" t="s">
        <v>600</v>
      </c>
      <c r="F13" s="10" t="s">
        <v>601</v>
      </c>
      <c r="G13" s="10" t="s">
        <v>602</v>
      </c>
      <c r="H13" s="10" t="s">
        <v>603</v>
      </c>
      <c r="I13" s="8"/>
      <c r="J13" s="8"/>
      <c r="K13" s="8"/>
    </row>
    <row r="14" customFormat="false" ht="81.75" hidden="false" customHeight="true" outlineLevel="0" collapsed="false">
      <c r="A14" s="11" t="s">
        <v>604</v>
      </c>
      <c r="B14" s="10" t="s">
        <v>605</v>
      </c>
      <c r="C14" s="16" t="s">
        <v>556</v>
      </c>
      <c r="D14" s="10" t="s">
        <v>606</v>
      </c>
      <c r="E14" s="10" t="s">
        <v>607</v>
      </c>
      <c r="F14" s="10" t="s">
        <v>608</v>
      </c>
      <c r="G14" s="10" t="s">
        <v>609</v>
      </c>
      <c r="H14" s="10" t="s">
        <v>610</v>
      </c>
      <c r="I14" s="8"/>
      <c r="J14" s="8"/>
      <c r="K14" s="8"/>
    </row>
    <row r="15" customFormat="false" ht="69" hidden="false" customHeight="true" outlineLevel="0" collapsed="false">
      <c r="A15" s="11" t="s">
        <v>611</v>
      </c>
      <c r="B15" s="10" t="s">
        <v>494</v>
      </c>
      <c r="C15" s="16" t="s">
        <v>556</v>
      </c>
      <c r="D15" s="10" t="s">
        <v>612</v>
      </c>
      <c r="E15" s="10" t="s">
        <v>613</v>
      </c>
      <c r="F15" s="10" t="s">
        <v>614</v>
      </c>
      <c r="G15" s="10" t="s">
        <v>615</v>
      </c>
      <c r="H15" s="10" t="s">
        <v>616</v>
      </c>
      <c r="I15" s="8"/>
      <c r="J15" s="8"/>
      <c r="K15" s="8"/>
    </row>
    <row r="16" customFormat="false" ht="69" hidden="false" customHeight="true" outlineLevel="0" collapsed="false">
      <c r="A16" s="11" t="s">
        <v>617</v>
      </c>
      <c r="B16" s="10" t="s">
        <v>618</v>
      </c>
      <c r="C16" s="16" t="s">
        <v>540</v>
      </c>
      <c r="D16" s="10" t="s">
        <v>619</v>
      </c>
      <c r="E16" s="10" t="s">
        <v>620</v>
      </c>
      <c r="F16" s="10" t="s">
        <v>621</v>
      </c>
      <c r="G16" s="10" t="s">
        <v>622</v>
      </c>
      <c r="H16" s="10" t="s">
        <v>623</v>
      </c>
      <c r="I16" s="8"/>
      <c r="J16" s="8"/>
      <c r="K16" s="8"/>
    </row>
  </sheetData>
  <autoFilter ref="A4:K16"/>
  <conditionalFormatting sqref="I5:I16">
    <cfRule type="cellIs" priority="2" operator="equal" aboveAverage="0" equalAverage="0" bottom="0" percent="0" rank="0" text="" dxfId="1">
      <formula>"Approve"</formula>
    </cfRule>
    <cfRule type="cellIs" priority="3" operator="equal" aboveAverage="0" equalAverage="0" bottom="0" percent="0" rank="0" text="" dxfId="0">
      <formula>"Approve with changes"</formula>
    </cfRule>
    <cfRule type="cellIs" priority="4" operator="equal" aboveAverage="0" equalAverage="0" bottom="0" percent="0" rank="0" text="" dxfId="0">
      <formula>"Defer"</formula>
    </cfRule>
    <cfRule type="cellIs" priority="5" operator="equal" aboveAverage="0" equalAverage="0" bottom="0" percent="0" rank="0" text="" dxfId="0">
      <formula>"Need more info"</formula>
    </cfRule>
    <cfRule type="cellIs" priority="6" operator="equal" aboveAverage="0" equalAverage="0" bottom="0" percent="0" rank="0" text="" dxfId="7">
      <formula>"Reject"</formula>
    </cfRule>
  </conditionalFormatting>
  <dataValidations count="1">
    <dataValidation allowBlank="true" error="Pick a value from the list." errorStyle="stop" errorTitle="Invalid entry" operator="between" prompt="Pick one: Approve / Approve with changes / Reject / Defer / Need more info" promptTitle="Your response" showDropDown="false" showErrorMessage="true" showInputMessage="false" sqref="I5:I16" type="list">
      <formula1>"Approve,Approve with changes,Reject,Defer,Need more info"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3" min="2" style="0" width="22"/>
    <col collapsed="false" customWidth="true" hidden="false" outlineLevel="0" max="4" min="4" style="0" width="30"/>
    <col collapsed="false" customWidth="true" hidden="false" outlineLevel="0" max="5" min="5" style="0" width="16"/>
    <col collapsed="false" customWidth="true" hidden="false" outlineLevel="0" max="6" min="6" style="0" width="17"/>
    <col collapsed="false" customWidth="true" hidden="false" outlineLevel="0" max="7" min="7" style="0" width="24"/>
    <col collapsed="false" customWidth="true" hidden="false" outlineLevel="0" max="8" min="8" style="0" width="44"/>
    <col collapsed="false" customWidth="true" hidden="false" outlineLevel="0" max="9" min="9" style="0" width="28"/>
    <col collapsed="false" customWidth="true" hidden="false" outlineLevel="0" max="10" min="10" style="0" width="24"/>
    <col collapsed="false" customWidth="true" hidden="false" outlineLevel="0" max="11" min="11" style="0" width="18"/>
    <col collapsed="false" customWidth="true" hidden="false" outlineLevel="0" max="12" min="12" style="0" width="30"/>
    <col collapsed="false" customWidth="true" hidden="false" outlineLevel="0" max="13" min="13" style="0" width="36"/>
  </cols>
  <sheetData>
    <row r="1" customFormat="false" ht="17.35" hidden="false" customHeight="false" outlineLevel="0" collapsed="false">
      <c r="A1" s="1" t="s">
        <v>624</v>
      </c>
    </row>
    <row r="2" customFormat="false" ht="15" hidden="false" customHeight="false" outlineLevel="0" collapsed="false">
      <c r="A2" s="15" t="s">
        <v>625</v>
      </c>
    </row>
    <row r="4" customFormat="false" ht="15" hidden="false" customHeight="false" outlineLevel="0" collapsed="false">
      <c r="A4" s="9" t="s">
        <v>10</v>
      </c>
      <c r="B4" s="9" t="s">
        <v>626</v>
      </c>
      <c r="C4" s="9" t="s">
        <v>627</v>
      </c>
      <c r="D4" s="9" t="s">
        <v>628</v>
      </c>
      <c r="E4" s="9" t="s">
        <v>629</v>
      </c>
      <c r="F4" s="9" t="s">
        <v>535</v>
      </c>
      <c r="G4" s="9" t="s">
        <v>630</v>
      </c>
      <c r="H4" s="9" t="s">
        <v>631</v>
      </c>
      <c r="I4" s="9" t="s">
        <v>632</v>
      </c>
      <c r="J4" s="9" t="s">
        <v>53</v>
      </c>
      <c r="K4" s="9" t="s">
        <v>16</v>
      </c>
      <c r="L4" s="9" t="s">
        <v>18</v>
      </c>
      <c r="M4" s="9" t="s">
        <v>20</v>
      </c>
    </row>
    <row r="5" customFormat="false" ht="55.5" hidden="false" customHeight="true" outlineLevel="0" collapsed="false">
      <c r="A5" s="11" t="s">
        <v>633</v>
      </c>
      <c r="B5" s="10" t="s">
        <v>634</v>
      </c>
      <c r="C5" s="10" t="s">
        <v>635</v>
      </c>
      <c r="D5" s="16" t="s">
        <v>636</v>
      </c>
      <c r="E5" s="10" t="s">
        <v>637</v>
      </c>
      <c r="F5" s="10" t="s">
        <v>558</v>
      </c>
      <c r="G5" s="10" t="s">
        <v>638</v>
      </c>
      <c r="H5" s="10" t="s">
        <v>639</v>
      </c>
      <c r="I5" s="10" t="s">
        <v>640</v>
      </c>
      <c r="J5" s="10" t="s">
        <v>641</v>
      </c>
      <c r="K5" s="8"/>
      <c r="L5" s="8"/>
      <c r="M5" s="8"/>
    </row>
    <row r="6" customFormat="false" ht="55.5" hidden="false" customHeight="true" outlineLevel="0" collapsed="false">
      <c r="A6" s="11" t="s">
        <v>642</v>
      </c>
      <c r="B6" s="10" t="s">
        <v>643</v>
      </c>
      <c r="C6" s="10" t="s">
        <v>644</v>
      </c>
      <c r="D6" s="16" t="s">
        <v>645</v>
      </c>
      <c r="E6" s="10" t="s">
        <v>646</v>
      </c>
      <c r="F6" s="10" t="s">
        <v>542</v>
      </c>
      <c r="G6" s="10" t="s">
        <v>647</v>
      </c>
      <c r="H6" s="10" t="s">
        <v>648</v>
      </c>
      <c r="I6" s="10" t="s">
        <v>649</v>
      </c>
      <c r="J6" s="10" t="s">
        <v>650</v>
      </c>
      <c r="K6" s="8"/>
      <c r="L6" s="8"/>
      <c r="M6" s="8"/>
    </row>
    <row r="7" customFormat="false" ht="55.5" hidden="false" customHeight="true" outlineLevel="0" collapsed="false">
      <c r="A7" s="11" t="s">
        <v>651</v>
      </c>
      <c r="B7" s="10" t="s">
        <v>652</v>
      </c>
      <c r="C7" s="10" t="s">
        <v>653</v>
      </c>
      <c r="D7" s="16" t="s">
        <v>654</v>
      </c>
      <c r="E7" s="10" t="s">
        <v>637</v>
      </c>
      <c r="F7" s="10" t="s">
        <v>558</v>
      </c>
      <c r="G7" s="10" t="s">
        <v>655</v>
      </c>
      <c r="H7" s="10" t="s">
        <v>656</v>
      </c>
      <c r="I7" s="10" t="s">
        <v>657</v>
      </c>
      <c r="J7" s="10" t="s">
        <v>658</v>
      </c>
      <c r="K7" s="8"/>
      <c r="L7" s="8"/>
      <c r="M7" s="8"/>
    </row>
    <row r="8" customFormat="false" ht="42.75" hidden="false" customHeight="true" outlineLevel="0" collapsed="false">
      <c r="A8" s="11" t="s">
        <v>659</v>
      </c>
      <c r="B8" s="10" t="s">
        <v>660</v>
      </c>
      <c r="C8" s="10" t="s">
        <v>661</v>
      </c>
      <c r="D8" s="16" t="s">
        <v>654</v>
      </c>
      <c r="E8" s="10" t="s">
        <v>637</v>
      </c>
      <c r="F8" s="10" t="s">
        <v>558</v>
      </c>
      <c r="G8" s="10" t="s">
        <v>655</v>
      </c>
      <c r="H8" s="10" t="s">
        <v>662</v>
      </c>
      <c r="I8" s="10" t="s">
        <v>663</v>
      </c>
      <c r="J8" s="10" t="s">
        <v>664</v>
      </c>
      <c r="K8" s="8"/>
      <c r="L8" s="8"/>
      <c r="M8" s="8"/>
    </row>
    <row r="9" customFormat="false" ht="69" hidden="false" customHeight="true" outlineLevel="0" collapsed="false">
      <c r="A9" s="11" t="s">
        <v>665</v>
      </c>
      <c r="B9" s="10" t="s">
        <v>666</v>
      </c>
      <c r="C9" s="10" t="s">
        <v>667</v>
      </c>
      <c r="D9" s="16" t="s">
        <v>668</v>
      </c>
      <c r="E9" s="10" t="s">
        <v>669</v>
      </c>
      <c r="F9" s="10" t="s">
        <v>670</v>
      </c>
      <c r="G9" s="10" t="s">
        <v>671</v>
      </c>
      <c r="H9" s="10" t="s">
        <v>672</v>
      </c>
      <c r="I9" s="10" t="s">
        <v>673</v>
      </c>
      <c r="J9" s="10" t="s">
        <v>674</v>
      </c>
      <c r="K9" s="8"/>
      <c r="L9" s="8"/>
      <c r="M9" s="8"/>
    </row>
    <row r="10" customFormat="false" ht="55.5" hidden="false" customHeight="true" outlineLevel="0" collapsed="false">
      <c r="A10" s="11" t="s">
        <v>675</v>
      </c>
      <c r="B10" s="10" t="s">
        <v>676</v>
      </c>
      <c r="C10" s="10" t="s">
        <v>677</v>
      </c>
      <c r="D10" s="16" t="s">
        <v>654</v>
      </c>
      <c r="E10" s="10" t="s">
        <v>637</v>
      </c>
      <c r="F10" s="10" t="s">
        <v>558</v>
      </c>
      <c r="G10" s="10" t="s">
        <v>655</v>
      </c>
      <c r="H10" s="10" t="s">
        <v>678</v>
      </c>
      <c r="I10" s="10" t="s">
        <v>679</v>
      </c>
      <c r="J10" s="10" t="s">
        <v>680</v>
      </c>
      <c r="K10" s="8"/>
      <c r="L10" s="8"/>
      <c r="M10" s="8"/>
    </row>
    <row r="11" customFormat="false" ht="69" hidden="false" customHeight="true" outlineLevel="0" collapsed="false">
      <c r="A11" s="11" t="s">
        <v>681</v>
      </c>
      <c r="B11" s="10" t="s">
        <v>682</v>
      </c>
      <c r="C11" s="10" t="s">
        <v>683</v>
      </c>
      <c r="D11" s="16" t="s">
        <v>684</v>
      </c>
      <c r="E11" s="10" t="s">
        <v>685</v>
      </c>
      <c r="F11" s="10" t="s">
        <v>686</v>
      </c>
      <c r="G11" s="10" t="s">
        <v>687</v>
      </c>
      <c r="H11" s="10" t="s">
        <v>688</v>
      </c>
      <c r="I11" s="10" t="s">
        <v>689</v>
      </c>
      <c r="J11" s="10" t="s">
        <v>690</v>
      </c>
      <c r="K11" s="8"/>
      <c r="L11" s="8"/>
      <c r="M11" s="8"/>
    </row>
    <row r="12" customFormat="false" ht="42.75" hidden="false" customHeight="true" outlineLevel="0" collapsed="false">
      <c r="A12" s="11" t="s">
        <v>691</v>
      </c>
      <c r="B12" s="10" t="s">
        <v>692</v>
      </c>
      <c r="C12" s="10" t="s">
        <v>693</v>
      </c>
      <c r="D12" s="16" t="s">
        <v>654</v>
      </c>
      <c r="E12" s="10" t="s">
        <v>637</v>
      </c>
      <c r="F12" s="10" t="s">
        <v>558</v>
      </c>
      <c r="G12" s="10" t="s">
        <v>655</v>
      </c>
      <c r="H12" s="10" t="s">
        <v>694</v>
      </c>
      <c r="I12" s="10" t="s">
        <v>695</v>
      </c>
      <c r="J12" s="10" t="s">
        <v>696</v>
      </c>
      <c r="K12" s="8"/>
      <c r="L12" s="8"/>
      <c r="M12" s="8"/>
    </row>
    <row r="13" customFormat="false" ht="42.75" hidden="false" customHeight="true" outlineLevel="0" collapsed="false">
      <c r="A13" s="11" t="s">
        <v>697</v>
      </c>
      <c r="B13" s="10" t="s">
        <v>698</v>
      </c>
      <c r="C13" s="10" t="s">
        <v>699</v>
      </c>
      <c r="D13" s="16" t="s">
        <v>700</v>
      </c>
      <c r="E13" s="10" t="s">
        <v>669</v>
      </c>
      <c r="F13" s="10" t="s">
        <v>670</v>
      </c>
      <c r="G13" s="10" t="s">
        <v>701</v>
      </c>
      <c r="H13" s="10" t="s">
        <v>702</v>
      </c>
      <c r="I13" s="10" t="s">
        <v>703</v>
      </c>
      <c r="J13" s="10" t="s">
        <v>704</v>
      </c>
      <c r="K13" s="8"/>
      <c r="L13" s="8"/>
      <c r="M13" s="8"/>
    </row>
    <row r="14" customFormat="false" ht="55.5" hidden="false" customHeight="true" outlineLevel="0" collapsed="false">
      <c r="A14" s="11" t="s">
        <v>705</v>
      </c>
      <c r="B14" s="10" t="s">
        <v>706</v>
      </c>
      <c r="C14" s="10" t="s">
        <v>707</v>
      </c>
      <c r="D14" s="16" t="s">
        <v>708</v>
      </c>
      <c r="E14" s="10" t="s">
        <v>709</v>
      </c>
      <c r="F14" s="10" t="s">
        <v>710</v>
      </c>
      <c r="G14" s="10" t="s">
        <v>711</v>
      </c>
      <c r="H14" s="10" t="s">
        <v>712</v>
      </c>
      <c r="I14" s="10" t="s">
        <v>713</v>
      </c>
      <c r="J14" s="10" t="s">
        <v>714</v>
      </c>
      <c r="K14" s="8"/>
      <c r="L14" s="8"/>
      <c r="M14" s="8"/>
    </row>
    <row r="15" customFormat="false" ht="42.75" hidden="false" customHeight="true" outlineLevel="0" collapsed="false">
      <c r="A15" s="11" t="s">
        <v>715</v>
      </c>
      <c r="B15" s="10" t="s">
        <v>716</v>
      </c>
      <c r="C15" s="10" t="s">
        <v>717</v>
      </c>
      <c r="D15" s="16" t="s">
        <v>718</v>
      </c>
      <c r="E15" s="10" t="s">
        <v>719</v>
      </c>
      <c r="F15" s="10" t="s">
        <v>720</v>
      </c>
      <c r="G15" s="10" t="s">
        <v>721</v>
      </c>
      <c r="H15" s="10" t="s">
        <v>722</v>
      </c>
      <c r="I15" s="10" t="s">
        <v>723</v>
      </c>
      <c r="J15" s="10" t="s">
        <v>724</v>
      </c>
      <c r="K15" s="8"/>
      <c r="L15" s="8"/>
      <c r="M15" s="8"/>
    </row>
    <row r="16" customFormat="false" ht="120.75" hidden="false" customHeight="true" outlineLevel="0" collapsed="false">
      <c r="A16" s="11" t="s">
        <v>725</v>
      </c>
      <c r="B16" s="10" t="s">
        <v>726</v>
      </c>
      <c r="C16" s="10" t="s">
        <v>727</v>
      </c>
      <c r="D16" s="16" t="s">
        <v>728</v>
      </c>
      <c r="E16" s="10" t="s">
        <v>646</v>
      </c>
      <c r="F16" s="10" t="s">
        <v>542</v>
      </c>
      <c r="G16" s="10" t="s">
        <v>729</v>
      </c>
      <c r="H16" s="10" t="s">
        <v>730</v>
      </c>
      <c r="I16" s="10" t="s">
        <v>731</v>
      </c>
      <c r="J16" s="10" t="s">
        <v>732</v>
      </c>
      <c r="K16" s="8"/>
      <c r="L16" s="8"/>
      <c r="M16" s="8"/>
    </row>
    <row r="17" customFormat="false" ht="81.75" hidden="false" customHeight="true" outlineLevel="0" collapsed="false">
      <c r="A17" s="11" t="s">
        <v>733</v>
      </c>
      <c r="B17" s="10" t="s">
        <v>198</v>
      </c>
      <c r="C17" s="10" t="s">
        <v>734</v>
      </c>
      <c r="D17" s="16" t="s">
        <v>735</v>
      </c>
      <c r="E17" s="10" t="s">
        <v>736</v>
      </c>
      <c r="F17" s="10" t="s">
        <v>737</v>
      </c>
      <c r="G17" s="10" t="s">
        <v>655</v>
      </c>
      <c r="H17" s="10" t="s">
        <v>738</v>
      </c>
      <c r="I17" s="10" t="s">
        <v>739</v>
      </c>
      <c r="J17" s="10" t="s">
        <v>740</v>
      </c>
      <c r="K17" s="8"/>
      <c r="L17" s="8"/>
      <c r="M17" s="8"/>
    </row>
    <row r="18" customFormat="false" ht="55.5" hidden="false" customHeight="true" outlineLevel="0" collapsed="false">
      <c r="A18" s="11" t="s">
        <v>741</v>
      </c>
      <c r="B18" s="10" t="s">
        <v>742</v>
      </c>
      <c r="C18" s="10" t="s">
        <v>743</v>
      </c>
      <c r="D18" s="16" t="s">
        <v>654</v>
      </c>
      <c r="E18" s="10" t="s">
        <v>637</v>
      </c>
      <c r="F18" s="10" t="s">
        <v>558</v>
      </c>
      <c r="G18" s="10" t="s">
        <v>744</v>
      </c>
      <c r="H18" s="10" t="s">
        <v>745</v>
      </c>
      <c r="I18" s="10" t="s">
        <v>746</v>
      </c>
      <c r="J18" s="10" t="s">
        <v>747</v>
      </c>
      <c r="K18" s="8"/>
      <c r="L18" s="8"/>
      <c r="M18" s="8"/>
    </row>
    <row r="19" customFormat="false" ht="42.75" hidden="false" customHeight="true" outlineLevel="0" collapsed="false">
      <c r="A19" s="11" t="s">
        <v>748</v>
      </c>
      <c r="B19" s="10" t="s">
        <v>749</v>
      </c>
      <c r="C19" s="10" t="s">
        <v>750</v>
      </c>
      <c r="D19" s="16" t="s">
        <v>751</v>
      </c>
      <c r="E19" s="10" t="s">
        <v>752</v>
      </c>
      <c r="F19" s="10" t="s">
        <v>753</v>
      </c>
      <c r="G19" s="10" t="s">
        <v>754</v>
      </c>
      <c r="H19" s="10" t="s">
        <v>755</v>
      </c>
      <c r="I19" s="10" t="s">
        <v>756</v>
      </c>
      <c r="J19" s="10" t="s">
        <v>757</v>
      </c>
      <c r="K19" s="8"/>
      <c r="L19" s="8"/>
      <c r="M19" s="8"/>
    </row>
    <row r="20" customFormat="false" ht="94.5" hidden="false" customHeight="true" outlineLevel="0" collapsed="false">
      <c r="A20" s="11" t="s">
        <v>758</v>
      </c>
      <c r="B20" s="10" t="s">
        <v>759</v>
      </c>
      <c r="C20" s="10" t="s">
        <v>760</v>
      </c>
      <c r="D20" s="16" t="s">
        <v>563</v>
      </c>
      <c r="E20" s="10" t="s">
        <v>761</v>
      </c>
      <c r="F20" s="10" t="s">
        <v>762</v>
      </c>
      <c r="G20" s="10" t="s">
        <v>763</v>
      </c>
      <c r="H20" s="10" t="s">
        <v>764</v>
      </c>
      <c r="I20" s="10" t="s">
        <v>765</v>
      </c>
      <c r="J20" s="10" t="s">
        <v>766</v>
      </c>
      <c r="K20" s="8"/>
      <c r="L20" s="8"/>
      <c r="M20" s="8"/>
    </row>
    <row r="21" customFormat="false" ht="55.5" hidden="false" customHeight="true" outlineLevel="0" collapsed="false">
      <c r="A21" s="11" t="s">
        <v>767</v>
      </c>
      <c r="B21" s="10" t="s">
        <v>768</v>
      </c>
      <c r="C21" s="10" t="s">
        <v>769</v>
      </c>
      <c r="D21" s="16" t="s">
        <v>770</v>
      </c>
      <c r="E21" s="10" t="s">
        <v>709</v>
      </c>
      <c r="F21" s="10" t="s">
        <v>771</v>
      </c>
      <c r="G21" s="10" t="s">
        <v>772</v>
      </c>
      <c r="H21" s="10" t="s">
        <v>773</v>
      </c>
      <c r="I21" s="10" t="s">
        <v>774</v>
      </c>
      <c r="J21" s="10" t="s">
        <v>775</v>
      </c>
      <c r="K21" s="8"/>
      <c r="L21" s="8"/>
      <c r="M21" s="8"/>
    </row>
    <row r="22" customFormat="false" ht="42.75" hidden="false" customHeight="true" outlineLevel="0" collapsed="false">
      <c r="A22" s="11" t="s">
        <v>776</v>
      </c>
      <c r="B22" s="10" t="s">
        <v>777</v>
      </c>
      <c r="C22" s="10" t="s">
        <v>778</v>
      </c>
      <c r="D22" s="16" t="s">
        <v>598</v>
      </c>
      <c r="E22" s="10" t="s">
        <v>779</v>
      </c>
      <c r="F22" s="10" t="s">
        <v>780</v>
      </c>
      <c r="G22" s="10" t="s">
        <v>781</v>
      </c>
      <c r="H22" s="10" t="s">
        <v>782</v>
      </c>
      <c r="I22" s="10" t="s">
        <v>783</v>
      </c>
      <c r="J22" s="10" t="s">
        <v>784</v>
      </c>
      <c r="K22" s="8"/>
      <c r="L22" s="8"/>
      <c r="M22" s="8"/>
    </row>
  </sheetData>
  <autoFilter ref="A4:M22"/>
  <conditionalFormatting sqref="K5:K22">
    <cfRule type="cellIs" priority="2" operator="equal" aboveAverage="0" equalAverage="0" bottom="0" percent="0" rank="0" text="" dxfId="1">
      <formula>"Approve"</formula>
    </cfRule>
    <cfRule type="cellIs" priority="3" operator="equal" aboveAverage="0" equalAverage="0" bottom="0" percent="0" rank="0" text="" dxfId="0">
      <formula>"Approve with changes"</formula>
    </cfRule>
    <cfRule type="cellIs" priority="4" operator="equal" aboveAverage="0" equalAverage="0" bottom="0" percent="0" rank="0" text="" dxfId="0">
      <formula>"Defer"</formula>
    </cfRule>
    <cfRule type="cellIs" priority="5" operator="equal" aboveAverage="0" equalAverage="0" bottom="0" percent="0" rank="0" text="" dxfId="0">
      <formula>"Need more info"</formula>
    </cfRule>
    <cfRule type="cellIs" priority="6" operator="equal" aboveAverage="0" equalAverage="0" bottom="0" percent="0" rank="0" text="" dxfId="7">
      <formula>"Reject"</formula>
    </cfRule>
  </conditionalFormatting>
  <dataValidations count="1">
    <dataValidation allowBlank="true" error="Pick a value from the list." errorStyle="stop" errorTitle="Invalid entry" operator="between" prompt="Pick one: Approve / Approve with changes / Reject / Defer / Need more info" promptTitle="Your response" showDropDown="false" showErrorMessage="true" showInputMessage="false" sqref="K5:K22" type="list">
      <formula1>"Approve,Approve with changes,Reject,Defer,Need more info"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8"/>
    <col collapsed="false" customWidth="true" hidden="false" outlineLevel="0" max="3" min="3" style="0" width="28"/>
    <col collapsed="false" customWidth="true" hidden="false" outlineLevel="0" max="4" min="4" style="0" width="40"/>
    <col collapsed="false" customWidth="true" hidden="false" outlineLevel="0" max="5" min="5" style="0" width="34"/>
    <col collapsed="false" customWidth="true" hidden="false" outlineLevel="0" max="6" min="6" style="0" width="48"/>
    <col collapsed="false" customWidth="true" hidden="false" outlineLevel="0" max="7" min="7" style="0" width="14"/>
    <col collapsed="false" customWidth="true" hidden="false" outlineLevel="0" max="8" min="8" style="0" width="26"/>
    <col collapsed="false" customWidth="true" hidden="false" outlineLevel="0" max="9" min="9" style="0" width="18"/>
    <col collapsed="false" customWidth="true" hidden="false" outlineLevel="0" max="10" min="10" style="0" width="30"/>
    <col collapsed="false" customWidth="true" hidden="false" outlineLevel="0" max="11" min="11" style="0" width="36"/>
  </cols>
  <sheetData>
    <row r="1" customFormat="false" ht="17.35" hidden="false" customHeight="false" outlineLevel="0" collapsed="false">
      <c r="A1" s="1" t="s">
        <v>785</v>
      </c>
    </row>
    <row r="2" customFormat="false" ht="15" hidden="false" customHeight="false" outlineLevel="0" collapsed="false">
      <c r="A2" s="15" t="s">
        <v>786</v>
      </c>
    </row>
    <row r="4" customFormat="false" ht="15" hidden="false" customHeight="false" outlineLevel="0" collapsed="false">
      <c r="A4" s="9" t="s">
        <v>10</v>
      </c>
      <c r="B4" s="9" t="s">
        <v>787</v>
      </c>
      <c r="C4" s="9" t="s">
        <v>788</v>
      </c>
      <c r="D4" s="9" t="s">
        <v>14</v>
      </c>
      <c r="E4" s="9" t="s">
        <v>789</v>
      </c>
      <c r="F4" s="9" t="s">
        <v>50</v>
      </c>
      <c r="G4" s="9" t="s">
        <v>52</v>
      </c>
      <c r="H4" s="9" t="s">
        <v>53</v>
      </c>
      <c r="I4" s="9" t="s">
        <v>16</v>
      </c>
      <c r="J4" s="9" t="s">
        <v>18</v>
      </c>
      <c r="K4" s="9" t="s">
        <v>20</v>
      </c>
    </row>
    <row r="5" customFormat="false" ht="42.75" hidden="false" customHeight="true" outlineLevel="0" collapsed="false">
      <c r="A5" s="11" t="s">
        <v>790</v>
      </c>
      <c r="B5" s="10" t="s">
        <v>791</v>
      </c>
      <c r="C5" s="10" t="s">
        <v>792</v>
      </c>
      <c r="D5" s="16" t="s">
        <v>793</v>
      </c>
      <c r="E5" s="10" t="s">
        <v>794</v>
      </c>
      <c r="F5" s="10" t="s">
        <v>795</v>
      </c>
      <c r="G5" s="10"/>
      <c r="H5" s="10" t="s">
        <v>796</v>
      </c>
      <c r="I5" s="8"/>
      <c r="J5" s="8"/>
      <c r="K5" s="8"/>
    </row>
    <row r="6" customFormat="false" ht="81.75" hidden="false" customHeight="true" outlineLevel="0" collapsed="false">
      <c r="A6" s="11" t="s">
        <v>797</v>
      </c>
      <c r="B6" s="10" t="s">
        <v>798</v>
      </c>
      <c r="C6" s="10" t="s">
        <v>799</v>
      </c>
      <c r="D6" s="16" t="s">
        <v>800</v>
      </c>
      <c r="E6" s="10" t="s">
        <v>801</v>
      </c>
      <c r="F6" s="10" t="s">
        <v>802</v>
      </c>
      <c r="G6" s="10" t="s">
        <v>803</v>
      </c>
      <c r="H6" s="10" t="s">
        <v>804</v>
      </c>
      <c r="I6" s="8"/>
      <c r="J6" s="8"/>
      <c r="K6" s="8"/>
    </row>
    <row r="7" customFormat="false" ht="94.5" hidden="false" customHeight="true" outlineLevel="0" collapsed="false">
      <c r="A7" s="11" t="s">
        <v>805</v>
      </c>
      <c r="B7" s="10" t="s">
        <v>806</v>
      </c>
      <c r="C7" s="10" t="s">
        <v>807</v>
      </c>
      <c r="D7" s="16" t="s">
        <v>808</v>
      </c>
      <c r="E7" s="10" t="s">
        <v>809</v>
      </c>
      <c r="F7" s="10" t="s">
        <v>810</v>
      </c>
      <c r="G7" s="10" t="s">
        <v>811</v>
      </c>
      <c r="H7" s="10" t="s">
        <v>812</v>
      </c>
      <c r="I7" s="8"/>
      <c r="J7" s="8"/>
      <c r="K7" s="8"/>
    </row>
    <row r="8" customFormat="false" ht="81.75" hidden="false" customHeight="true" outlineLevel="0" collapsed="false">
      <c r="A8" s="11" t="s">
        <v>813</v>
      </c>
      <c r="B8" s="10" t="s">
        <v>814</v>
      </c>
      <c r="C8" s="10" t="s">
        <v>815</v>
      </c>
      <c r="D8" s="16" t="s">
        <v>816</v>
      </c>
      <c r="E8" s="10" t="s">
        <v>817</v>
      </c>
      <c r="F8" s="10" t="s">
        <v>818</v>
      </c>
      <c r="G8" s="10" t="s">
        <v>819</v>
      </c>
      <c r="H8" s="10" t="s">
        <v>820</v>
      </c>
      <c r="I8" s="8"/>
      <c r="J8" s="8"/>
      <c r="K8" s="8"/>
    </row>
    <row r="9" customFormat="false" ht="94.5" hidden="false" customHeight="true" outlineLevel="0" collapsed="false">
      <c r="A9" s="11" t="s">
        <v>821</v>
      </c>
      <c r="B9" s="10" t="s">
        <v>822</v>
      </c>
      <c r="C9" s="10" t="s">
        <v>823</v>
      </c>
      <c r="D9" s="16" t="s">
        <v>824</v>
      </c>
      <c r="E9" s="10" t="s">
        <v>825</v>
      </c>
      <c r="F9" s="10" t="s">
        <v>826</v>
      </c>
      <c r="G9" s="10" t="s">
        <v>827</v>
      </c>
      <c r="H9" s="10" t="s">
        <v>828</v>
      </c>
      <c r="I9" s="8"/>
      <c r="J9" s="8"/>
      <c r="K9" s="8"/>
    </row>
    <row r="10" customFormat="false" ht="69" hidden="false" customHeight="true" outlineLevel="0" collapsed="false">
      <c r="A10" s="11" t="s">
        <v>829</v>
      </c>
      <c r="B10" s="10" t="s">
        <v>830</v>
      </c>
      <c r="C10" s="10" t="s">
        <v>831</v>
      </c>
      <c r="D10" s="16" t="s">
        <v>832</v>
      </c>
      <c r="E10" s="10" t="s">
        <v>833</v>
      </c>
      <c r="F10" s="10" t="s">
        <v>834</v>
      </c>
      <c r="G10" s="10" t="s">
        <v>835</v>
      </c>
      <c r="H10" s="10" t="s">
        <v>836</v>
      </c>
      <c r="I10" s="8"/>
      <c r="J10" s="8"/>
      <c r="K10" s="8"/>
    </row>
    <row r="11" customFormat="false" ht="42.75" hidden="false" customHeight="true" outlineLevel="0" collapsed="false">
      <c r="A11" s="11" t="s">
        <v>837</v>
      </c>
      <c r="B11" s="10" t="s">
        <v>838</v>
      </c>
      <c r="C11" s="10" t="s">
        <v>573</v>
      </c>
      <c r="D11" s="16" t="s">
        <v>839</v>
      </c>
      <c r="E11" s="10" t="s">
        <v>840</v>
      </c>
      <c r="F11" s="10" t="s">
        <v>841</v>
      </c>
      <c r="G11" s="10" t="s">
        <v>842</v>
      </c>
      <c r="H11" s="10" t="s">
        <v>843</v>
      </c>
      <c r="I11" s="8"/>
      <c r="J11" s="8"/>
      <c r="K11" s="8"/>
    </row>
    <row r="12" customFormat="false" ht="55.5" hidden="false" customHeight="true" outlineLevel="0" collapsed="false">
      <c r="A12" s="11" t="s">
        <v>844</v>
      </c>
      <c r="B12" s="10" t="s">
        <v>845</v>
      </c>
      <c r="C12" s="10" t="s">
        <v>846</v>
      </c>
      <c r="D12" s="16" t="s">
        <v>793</v>
      </c>
      <c r="E12" s="10" t="s">
        <v>847</v>
      </c>
      <c r="F12" s="10" t="s">
        <v>848</v>
      </c>
      <c r="G12" s="10"/>
      <c r="H12" s="10" t="s">
        <v>849</v>
      </c>
      <c r="I12" s="8"/>
      <c r="J12" s="8"/>
      <c r="K12" s="8"/>
    </row>
    <row r="13" customFormat="false" ht="55.5" hidden="false" customHeight="true" outlineLevel="0" collapsed="false">
      <c r="A13" s="11" t="s">
        <v>850</v>
      </c>
      <c r="B13" s="10" t="s">
        <v>851</v>
      </c>
      <c r="C13" s="10" t="s">
        <v>852</v>
      </c>
      <c r="D13" s="16" t="s">
        <v>853</v>
      </c>
      <c r="E13" s="10" t="s">
        <v>854</v>
      </c>
      <c r="F13" s="10" t="s">
        <v>855</v>
      </c>
      <c r="G13" s="10" t="s">
        <v>856</v>
      </c>
      <c r="H13" s="10" t="s">
        <v>857</v>
      </c>
      <c r="I13" s="8"/>
      <c r="J13" s="8"/>
      <c r="K13" s="8"/>
    </row>
    <row r="14" customFormat="false" ht="69" hidden="false" customHeight="true" outlineLevel="0" collapsed="false">
      <c r="A14" s="11" t="s">
        <v>858</v>
      </c>
      <c r="B14" s="10" t="s">
        <v>859</v>
      </c>
      <c r="C14" s="10" t="s">
        <v>860</v>
      </c>
      <c r="D14" s="16" t="s">
        <v>861</v>
      </c>
      <c r="E14" s="10" t="s">
        <v>862</v>
      </c>
      <c r="F14" s="10" t="s">
        <v>863</v>
      </c>
      <c r="G14" s="10" t="s">
        <v>864</v>
      </c>
      <c r="H14" s="10" t="s">
        <v>865</v>
      </c>
      <c r="I14" s="8"/>
      <c r="J14" s="8"/>
      <c r="K14" s="8"/>
    </row>
    <row r="15" customFormat="false" ht="81.75" hidden="false" customHeight="true" outlineLevel="0" collapsed="false">
      <c r="A15" s="11" t="s">
        <v>866</v>
      </c>
      <c r="B15" s="10" t="s">
        <v>867</v>
      </c>
      <c r="C15" s="10" t="s">
        <v>868</v>
      </c>
      <c r="D15" s="16" t="s">
        <v>869</v>
      </c>
      <c r="E15" s="10" t="s">
        <v>870</v>
      </c>
      <c r="F15" s="10" t="s">
        <v>871</v>
      </c>
      <c r="G15" s="10" t="s">
        <v>872</v>
      </c>
      <c r="H15" s="10" t="s">
        <v>873</v>
      </c>
      <c r="I15" s="8"/>
      <c r="J15" s="8"/>
      <c r="K15" s="8"/>
    </row>
    <row r="16" customFormat="false" ht="55.5" hidden="false" customHeight="true" outlineLevel="0" collapsed="false">
      <c r="A16" s="11" t="s">
        <v>874</v>
      </c>
      <c r="B16" s="10" t="s">
        <v>875</v>
      </c>
      <c r="C16" s="10" t="s">
        <v>876</v>
      </c>
      <c r="D16" s="16" t="s">
        <v>877</v>
      </c>
      <c r="E16" s="10" t="s">
        <v>878</v>
      </c>
      <c r="F16" s="10" t="s">
        <v>879</v>
      </c>
      <c r="G16" s="10" t="s">
        <v>161</v>
      </c>
      <c r="H16" s="10" t="s">
        <v>880</v>
      </c>
      <c r="I16" s="8"/>
      <c r="J16" s="8"/>
      <c r="K16" s="8"/>
    </row>
  </sheetData>
  <autoFilter ref="A4:K16"/>
  <conditionalFormatting sqref="I5:I16">
    <cfRule type="cellIs" priority="2" operator="equal" aboveAverage="0" equalAverage="0" bottom="0" percent="0" rank="0" text="" dxfId="1">
      <formula>"Approve"</formula>
    </cfRule>
    <cfRule type="cellIs" priority="3" operator="equal" aboveAverage="0" equalAverage="0" bottom="0" percent="0" rank="0" text="" dxfId="0">
      <formula>"Approve with changes"</formula>
    </cfRule>
    <cfRule type="cellIs" priority="4" operator="equal" aboveAverage="0" equalAverage="0" bottom="0" percent="0" rank="0" text="" dxfId="0">
      <formula>"Defer"</formula>
    </cfRule>
    <cfRule type="cellIs" priority="5" operator="equal" aboveAverage="0" equalAverage="0" bottom="0" percent="0" rank="0" text="" dxfId="0">
      <formula>"Need more info"</formula>
    </cfRule>
    <cfRule type="cellIs" priority="6" operator="equal" aboveAverage="0" equalAverage="0" bottom="0" percent="0" rank="0" text="" dxfId="7">
      <formula>"Reject"</formula>
    </cfRule>
  </conditionalFormatting>
  <dataValidations count="1">
    <dataValidation allowBlank="true" error="Pick a value from the list." errorStyle="stop" errorTitle="Invalid entry" operator="between" prompt="Pick one: Approve / Approve with changes / Reject / Defer / Need more info" promptTitle="Your response" showDropDown="false" showErrorMessage="true" showInputMessage="false" sqref="I5:I16" type="list">
      <formula1>"Approve,Approve with changes,Reject,Defer,Need more info"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6"/>
    <col collapsed="false" customWidth="true" hidden="false" outlineLevel="0" max="3" min="3" style="0" width="50"/>
    <col collapsed="false" customWidth="true" hidden="false" outlineLevel="0" max="4" min="4" style="0" width="44"/>
    <col collapsed="false" customWidth="true" hidden="false" outlineLevel="0" max="5" min="5" style="0" width="16"/>
    <col collapsed="false" customWidth="true" hidden="false" outlineLevel="0" max="6" min="6" style="0" width="10"/>
    <col collapsed="false" customWidth="true" hidden="false" outlineLevel="0" max="7" min="7" style="0" width="26"/>
    <col collapsed="false" customWidth="true" hidden="false" outlineLevel="0" max="8" min="8" style="0" width="18"/>
    <col collapsed="false" customWidth="true" hidden="false" outlineLevel="0" max="9" min="9" style="0" width="30"/>
    <col collapsed="false" customWidth="true" hidden="false" outlineLevel="0" max="10" min="10" style="0" width="36"/>
  </cols>
  <sheetData>
    <row r="1" customFormat="false" ht="17.35" hidden="false" customHeight="false" outlineLevel="0" collapsed="false">
      <c r="A1" s="1" t="s">
        <v>881</v>
      </c>
    </row>
    <row r="2" customFormat="false" ht="15" hidden="false" customHeight="false" outlineLevel="0" collapsed="false">
      <c r="A2" s="15" t="s">
        <v>882</v>
      </c>
    </row>
    <row r="4" customFormat="false" ht="15" hidden="false" customHeight="false" outlineLevel="0" collapsed="false">
      <c r="A4" s="9" t="s">
        <v>10</v>
      </c>
      <c r="B4" s="9" t="s">
        <v>47</v>
      </c>
      <c r="C4" s="9" t="s">
        <v>883</v>
      </c>
      <c r="D4" s="9" t="s">
        <v>884</v>
      </c>
      <c r="E4" s="9" t="s">
        <v>52</v>
      </c>
      <c r="F4" s="9" t="s">
        <v>885</v>
      </c>
      <c r="G4" s="9" t="s">
        <v>53</v>
      </c>
      <c r="H4" s="9" t="s">
        <v>16</v>
      </c>
      <c r="I4" s="9" t="s">
        <v>18</v>
      </c>
      <c r="J4" s="9" t="s">
        <v>20</v>
      </c>
    </row>
    <row r="5" customFormat="false" ht="108" hidden="false" customHeight="true" outlineLevel="0" collapsed="false">
      <c r="A5" s="11" t="s">
        <v>886</v>
      </c>
      <c r="B5" s="10" t="s">
        <v>887</v>
      </c>
      <c r="C5" s="10" t="s">
        <v>888</v>
      </c>
      <c r="D5" s="10" t="s">
        <v>889</v>
      </c>
      <c r="E5" s="10" t="s">
        <v>54</v>
      </c>
      <c r="F5" s="10" t="s">
        <v>890</v>
      </c>
      <c r="G5" s="10" t="s">
        <v>891</v>
      </c>
      <c r="H5" s="8"/>
      <c r="I5" s="8"/>
      <c r="J5" s="8"/>
    </row>
    <row r="6" customFormat="false" ht="81.75" hidden="false" customHeight="true" outlineLevel="0" collapsed="false">
      <c r="A6" s="11" t="s">
        <v>892</v>
      </c>
      <c r="B6" s="10" t="s">
        <v>893</v>
      </c>
      <c r="C6" s="10" t="s">
        <v>894</v>
      </c>
      <c r="D6" s="10" t="s">
        <v>895</v>
      </c>
      <c r="E6" s="10" t="s">
        <v>896</v>
      </c>
      <c r="F6" s="10" t="s">
        <v>897</v>
      </c>
      <c r="G6" s="10" t="s">
        <v>898</v>
      </c>
      <c r="H6" s="8"/>
      <c r="I6" s="8"/>
      <c r="J6" s="8"/>
    </row>
    <row r="7" customFormat="false" ht="94.5" hidden="false" customHeight="true" outlineLevel="0" collapsed="false">
      <c r="A7" s="11" t="s">
        <v>899</v>
      </c>
      <c r="B7" s="10" t="s">
        <v>900</v>
      </c>
      <c r="C7" s="10" t="s">
        <v>901</v>
      </c>
      <c r="D7" s="10" t="s">
        <v>902</v>
      </c>
      <c r="E7" s="10" t="s">
        <v>903</v>
      </c>
      <c r="F7" s="10" t="s">
        <v>897</v>
      </c>
      <c r="G7" s="10" t="s">
        <v>904</v>
      </c>
      <c r="H7" s="8"/>
      <c r="I7" s="8"/>
      <c r="J7" s="8"/>
    </row>
    <row r="8" customFormat="false" ht="81.75" hidden="false" customHeight="true" outlineLevel="0" collapsed="false">
      <c r="A8" s="11" t="s">
        <v>905</v>
      </c>
      <c r="B8" s="10" t="s">
        <v>906</v>
      </c>
      <c r="C8" s="10" t="s">
        <v>907</v>
      </c>
      <c r="D8" s="10" t="s">
        <v>908</v>
      </c>
      <c r="E8" s="10" t="s">
        <v>909</v>
      </c>
      <c r="F8" s="10" t="s">
        <v>890</v>
      </c>
      <c r="G8" s="10" t="s">
        <v>910</v>
      </c>
      <c r="H8" s="8"/>
      <c r="I8" s="8"/>
      <c r="J8" s="8"/>
    </row>
    <row r="9" customFormat="false" ht="94.5" hidden="false" customHeight="true" outlineLevel="0" collapsed="false">
      <c r="A9" s="11" t="s">
        <v>911</v>
      </c>
      <c r="B9" s="10" t="s">
        <v>912</v>
      </c>
      <c r="C9" s="10" t="s">
        <v>913</v>
      </c>
      <c r="D9" s="10" t="s">
        <v>914</v>
      </c>
      <c r="E9" s="10" t="s">
        <v>915</v>
      </c>
      <c r="F9" s="10" t="s">
        <v>897</v>
      </c>
      <c r="G9" s="10" t="s">
        <v>916</v>
      </c>
      <c r="H9" s="8"/>
      <c r="I9" s="8"/>
      <c r="J9" s="8"/>
    </row>
    <row r="10" customFormat="false" ht="69" hidden="false" customHeight="true" outlineLevel="0" collapsed="false">
      <c r="A10" s="11" t="s">
        <v>917</v>
      </c>
      <c r="B10" s="10" t="s">
        <v>918</v>
      </c>
      <c r="C10" s="10" t="s">
        <v>919</v>
      </c>
      <c r="D10" s="10" t="s">
        <v>920</v>
      </c>
      <c r="E10" s="10" t="s">
        <v>921</v>
      </c>
      <c r="F10" s="10" t="s">
        <v>922</v>
      </c>
      <c r="G10" s="10" t="s">
        <v>923</v>
      </c>
      <c r="H10" s="8"/>
      <c r="I10" s="8"/>
      <c r="J10" s="8"/>
    </row>
    <row r="11" customFormat="false" ht="42.75" hidden="false" customHeight="true" outlineLevel="0" collapsed="false">
      <c r="A11" s="11" t="s">
        <v>924</v>
      </c>
      <c r="B11" s="10" t="s">
        <v>925</v>
      </c>
      <c r="C11" s="10" t="s">
        <v>926</v>
      </c>
      <c r="D11" s="10" t="s">
        <v>927</v>
      </c>
      <c r="E11" s="10" t="s">
        <v>928</v>
      </c>
      <c r="F11" s="10" t="s">
        <v>922</v>
      </c>
      <c r="G11" s="10" t="s">
        <v>929</v>
      </c>
      <c r="H11" s="8"/>
      <c r="I11" s="8"/>
      <c r="J11" s="8"/>
    </row>
    <row r="12" customFormat="false" ht="94.5" hidden="false" customHeight="true" outlineLevel="0" collapsed="false">
      <c r="A12" s="11" t="s">
        <v>930</v>
      </c>
      <c r="B12" s="10" t="s">
        <v>931</v>
      </c>
      <c r="C12" s="10" t="s">
        <v>932</v>
      </c>
      <c r="D12" s="10" t="s">
        <v>933</v>
      </c>
      <c r="E12" s="10" t="s">
        <v>934</v>
      </c>
      <c r="F12" s="10" t="s">
        <v>897</v>
      </c>
      <c r="G12" s="10" t="s">
        <v>935</v>
      </c>
      <c r="H12" s="8"/>
      <c r="I12" s="8"/>
      <c r="J12" s="8"/>
    </row>
    <row r="13" customFormat="false" ht="133.5" hidden="false" customHeight="true" outlineLevel="0" collapsed="false">
      <c r="A13" s="11" t="s">
        <v>936</v>
      </c>
      <c r="B13" s="10" t="s">
        <v>937</v>
      </c>
      <c r="C13" s="10" t="s">
        <v>938</v>
      </c>
      <c r="D13" s="10" t="s">
        <v>939</v>
      </c>
      <c r="E13" s="10" t="s">
        <v>940</v>
      </c>
      <c r="F13" s="10" t="s">
        <v>890</v>
      </c>
      <c r="G13" s="10" t="s">
        <v>941</v>
      </c>
      <c r="H13" s="8"/>
      <c r="I13" s="8"/>
      <c r="J13" s="8"/>
    </row>
    <row r="14" customFormat="false" ht="94.5" hidden="false" customHeight="true" outlineLevel="0" collapsed="false">
      <c r="A14" s="11" t="s">
        <v>942</v>
      </c>
      <c r="B14" s="10" t="s">
        <v>943</v>
      </c>
      <c r="C14" s="10" t="s">
        <v>944</v>
      </c>
      <c r="D14" s="10" t="s">
        <v>945</v>
      </c>
      <c r="E14" s="10" t="s">
        <v>946</v>
      </c>
      <c r="F14" s="10" t="s">
        <v>897</v>
      </c>
      <c r="G14" s="10" t="s">
        <v>947</v>
      </c>
      <c r="H14" s="8"/>
      <c r="I14" s="8"/>
      <c r="J14" s="8"/>
    </row>
    <row r="15" customFormat="false" ht="94.5" hidden="false" customHeight="true" outlineLevel="0" collapsed="false">
      <c r="A15" s="11" t="s">
        <v>948</v>
      </c>
      <c r="B15" s="10" t="s">
        <v>949</v>
      </c>
      <c r="C15" s="10" t="s">
        <v>950</v>
      </c>
      <c r="D15" s="10" t="s">
        <v>951</v>
      </c>
      <c r="E15" s="10" t="s">
        <v>952</v>
      </c>
      <c r="F15" s="10" t="s">
        <v>897</v>
      </c>
      <c r="G15" s="10" t="s">
        <v>953</v>
      </c>
      <c r="H15" s="8"/>
      <c r="I15" s="8"/>
      <c r="J15" s="8"/>
    </row>
    <row r="16" customFormat="false" ht="94.5" hidden="false" customHeight="true" outlineLevel="0" collapsed="false">
      <c r="A16" s="11" t="s">
        <v>954</v>
      </c>
      <c r="B16" s="10" t="s">
        <v>955</v>
      </c>
      <c r="C16" s="10" t="s">
        <v>956</v>
      </c>
      <c r="D16" s="10" t="s">
        <v>957</v>
      </c>
      <c r="E16" s="10" t="s">
        <v>958</v>
      </c>
      <c r="F16" s="10" t="s">
        <v>890</v>
      </c>
      <c r="G16" s="10" t="s">
        <v>959</v>
      </c>
      <c r="H16" s="8"/>
      <c r="I16" s="8"/>
      <c r="J16" s="8"/>
    </row>
    <row r="17" customFormat="false" ht="147" hidden="false" customHeight="true" outlineLevel="0" collapsed="false">
      <c r="A17" s="11" t="s">
        <v>960</v>
      </c>
      <c r="B17" s="10" t="s">
        <v>961</v>
      </c>
      <c r="C17" s="10" t="s">
        <v>962</v>
      </c>
      <c r="D17" s="10" t="s">
        <v>963</v>
      </c>
      <c r="E17" s="10" t="s">
        <v>964</v>
      </c>
      <c r="F17" s="10" t="s">
        <v>922</v>
      </c>
      <c r="G17" s="10" t="s">
        <v>965</v>
      </c>
      <c r="H17" s="8"/>
      <c r="I17" s="8"/>
      <c r="J17" s="8"/>
    </row>
    <row r="18" customFormat="false" ht="69" hidden="false" customHeight="true" outlineLevel="0" collapsed="false">
      <c r="A18" s="11" t="s">
        <v>966</v>
      </c>
      <c r="B18" s="10" t="s">
        <v>822</v>
      </c>
      <c r="C18" s="10" t="s">
        <v>967</v>
      </c>
      <c r="D18" s="10" t="s">
        <v>968</v>
      </c>
      <c r="E18" s="10" t="s">
        <v>969</v>
      </c>
      <c r="F18" s="10" t="s">
        <v>897</v>
      </c>
      <c r="G18" s="10" t="s">
        <v>970</v>
      </c>
      <c r="H18" s="8"/>
      <c r="I18" s="8"/>
      <c r="J18" s="8"/>
    </row>
    <row r="19" customFormat="false" ht="69" hidden="false" customHeight="true" outlineLevel="0" collapsed="false">
      <c r="A19" s="11" t="s">
        <v>971</v>
      </c>
      <c r="B19" s="10" t="s">
        <v>972</v>
      </c>
      <c r="C19" s="10" t="s">
        <v>973</v>
      </c>
      <c r="D19" s="10" t="s">
        <v>974</v>
      </c>
      <c r="E19" s="10" t="s">
        <v>975</v>
      </c>
      <c r="F19" s="10" t="s">
        <v>897</v>
      </c>
      <c r="G19" s="10" t="s">
        <v>976</v>
      </c>
      <c r="H19" s="8"/>
      <c r="I19" s="8"/>
      <c r="J19" s="8"/>
    </row>
    <row r="20" customFormat="false" ht="69" hidden="false" customHeight="true" outlineLevel="0" collapsed="false">
      <c r="A20" s="11" t="s">
        <v>977</v>
      </c>
      <c r="B20" s="10" t="s">
        <v>867</v>
      </c>
      <c r="C20" s="10" t="s">
        <v>978</v>
      </c>
      <c r="D20" s="10" t="s">
        <v>979</v>
      </c>
      <c r="E20" s="10" t="s">
        <v>980</v>
      </c>
      <c r="F20" s="10" t="s">
        <v>897</v>
      </c>
      <c r="G20" s="10" t="s">
        <v>981</v>
      </c>
      <c r="H20" s="8"/>
      <c r="I20" s="8"/>
      <c r="J20" s="8"/>
    </row>
    <row r="21" customFormat="false" ht="108" hidden="false" customHeight="true" outlineLevel="0" collapsed="false">
      <c r="A21" s="11" t="s">
        <v>982</v>
      </c>
      <c r="B21" s="10" t="s">
        <v>983</v>
      </c>
      <c r="C21" s="10" t="s">
        <v>984</v>
      </c>
      <c r="D21" s="10" t="s">
        <v>985</v>
      </c>
      <c r="E21" s="10" t="s">
        <v>986</v>
      </c>
      <c r="F21" s="10" t="s">
        <v>897</v>
      </c>
      <c r="G21" s="10" t="s">
        <v>987</v>
      </c>
      <c r="H21" s="8"/>
      <c r="I21" s="8"/>
      <c r="J21" s="8"/>
    </row>
    <row r="22" customFormat="false" ht="69" hidden="false" customHeight="true" outlineLevel="0" collapsed="false">
      <c r="A22" s="11" t="s">
        <v>988</v>
      </c>
      <c r="B22" s="10" t="s">
        <v>989</v>
      </c>
      <c r="C22" s="10" t="s">
        <v>990</v>
      </c>
      <c r="D22" s="10" t="s">
        <v>991</v>
      </c>
      <c r="E22" s="10" t="s">
        <v>260</v>
      </c>
      <c r="F22" s="10" t="s">
        <v>922</v>
      </c>
      <c r="G22" s="10" t="s">
        <v>992</v>
      </c>
      <c r="H22" s="8"/>
      <c r="I22" s="8"/>
      <c r="J22" s="8"/>
    </row>
    <row r="23" customFormat="false" ht="108" hidden="false" customHeight="true" outlineLevel="0" collapsed="false">
      <c r="A23" s="11" t="s">
        <v>993</v>
      </c>
      <c r="B23" s="10" t="s">
        <v>994</v>
      </c>
      <c r="C23" s="10" t="s">
        <v>995</v>
      </c>
      <c r="D23" s="10" t="s">
        <v>996</v>
      </c>
      <c r="E23" s="10" t="s">
        <v>997</v>
      </c>
      <c r="F23" s="10" t="s">
        <v>890</v>
      </c>
      <c r="G23" s="10" t="s">
        <v>998</v>
      </c>
      <c r="H23" s="8"/>
      <c r="I23" s="8"/>
      <c r="J23" s="8"/>
    </row>
    <row r="24" customFormat="false" ht="69" hidden="false" customHeight="true" outlineLevel="0" collapsed="false">
      <c r="A24" s="11" t="s">
        <v>999</v>
      </c>
      <c r="B24" s="10" t="s">
        <v>277</v>
      </c>
      <c r="C24" s="10" t="s">
        <v>1000</v>
      </c>
      <c r="D24" s="10" t="s">
        <v>1001</v>
      </c>
      <c r="E24" s="10" t="s">
        <v>276</v>
      </c>
      <c r="F24" s="10" t="s">
        <v>922</v>
      </c>
      <c r="G24" s="10" t="s">
        <v>1002</v>
      </c>
      <c r="H24" s="8"/>
      <c r="I24" s="8"/>
      <c r="J24" s="8"/>
    </row>
    <row r="25" customFormat="false" ht="108" hidden="false" customHeight="true" outlineLevel="0" collapsed="false">
      <c r="A25" s="11" t="s">
        <v>1003</v>
      </c>
      <c r="B25" s="10" t="s">
        <v>1004</v>
      </c>
      <c r="C25" s="10" t="s">
        <v>1005</v>
      </c>
      <c r="D25" s="10" t="s">
        <v>1006</v>
      </c>
      <c r="E25" s="10" t="s">
        <v>1007</v>
      </c>
      <c r="F25" s="10" t="s">
        <v>897</v>
      </c>
      <c r="G25" s="10" t="s">
        <v>1008</v>
      </c>
      <c r="H25" s="8"/>
      <c r="I25" s="8"/>
      <c r="J25" s="8"/>
    </row>
    <row r="26" customFormat="false" ht="108" hidden="false" customHeight="true" outlineLevel="0" collapsed="false">
      <c r="A26" s="11" t="s">
        <v>1009</v>
      </c>
      <c r="B26" s="10" t="s">
        <v>1010</v>
      </c>
      <c r="C26" s="10" t="s">
        <v>1011</v>
      </c>
      <c r="D26" s="10" t="s">
        <v>1012</v>
      </c>
      <c r="E26" s="10" t="s">
        <v>1013</v>
      </c>
      <c r="F26" s="10" t="s">
        <v>897</v>
      </c>
      <c r="G26" s="10" t="s">
        <v>1014</v>
      </c>
      <c r="H26" s="8"/>
      <c r="I26" s="8"/>
      <c r="J26" s="8"/>
    </row>
    <row r="27" customFormat="false" ht="81.75" hidden="false" customHeight="true" outlineLevel="0" collapsed="false">
      <c r="A27" s="11" t="s">
        <v>1015</v>
      </c>
      <c r="B27" s="10" t="s">
        <v>1016</v>
      </c>
      <c r="C27" s="10" t="s">
        <v>1017</v>
      </c>
      <c r="D27" s="10" t="s">
        <v>1018</v>
      </c>
      <c r="E27" s="10" t="s">
        <v>282</v>
      </c>
      <c r="F27" s="10" t="s">
        <v>897</v>
      </c>
      <c r="G27" s="10" t="s">
        <v>1019</v>
      </c>
      <c r="H27" s="8"/>
      <c r="I27" s="8"/>
      <c r="J27" s="8"/>
    </row>
    <row r="28" customFormat="false" ht="120.75" hidden="false" customHeight="true" outlineLevel="0" collapsed="false">
      <c r="A28" s="11" t="s">
        <v>1020</v>
      </c>
      <c r="B28" s="10" t="s">
        <v>1021</v>
      </c>
      <c r="C28" s="10" t="s">
        <v>1022</v>
      </c>
      <c r="D28" s="10" t="s">
        <v>1023</v>
      </c>
      <c r="E28" s="10" t="s">
        <v>1024</v>
      </c>
      <c r="F28" s="10" t="s">
        <v>890</v>
      </c>
      <c r="G28" s="10" t="s">
        <v>1025</v>
      </c>
      <c r="H28" s="8"/>
      <c r="I28" s="8"/>
      <c r="J28" s="8"/>
    </row>
    <row r="29" customFormat="false" ht="94.5" hidden="false" customHeight="true" outlineLevel="0" collapsed="false">
      <c r="A29" s="11" t="s">
        <v>1026</v>
      </c>
      <c r="B29" s="10" t="s">
        <v>1027</v>
      </c>
      <c r="C29" s="10" t="s">
        <v>1028</v>
      </c>
      <c r="D29" s="10" t="s">
        <v>1029</v>
      </c>
      <c r="E29" s="10" t="s">
        <v>289</v>
      </c>
      <c r="F29" s="10" t="s">
        <v>922</v>
      </c>
      <c r="G29" s="10" t="s">
        <v>1030</v>
      </c>
      <c r="H29" s="8"/>
      <c r="I29" s="8"/>
      <c r="J29" s="8"/>
    </row>
    <row r="30" customFormat="false" ht="69" hidden="false" customHeight="true" outlineLevel="0" collapsed="false">
      <c r="A30" s="11" t="s">
        <v>1031</v>
      </c>
      <c r="B30" s="10" t="s">
        <v>1032</v>
      </c>
      <c r="C30" s="10" t="s">
        <v>1033</v>
      </c>
      <c r="D30" s="10" t="s">
        <v>1034</v>
      </c>
      <c r="E30" s="10" t="s">
        <v>289</v>
      </c>
      <c r="F30" s="10" t="s">
        <v>897</v>
      </c>
      <c r="G30" s="10" t="s">
        <v>1035</v>
      </c>
      <c r="H30" s="8"/>
      <c r="I30" s="8"/>
      <c r="J30" s="8"/>
    </row>
    <row r="31" customFormat="false" ht="69" hidden="false" customHeight="true" outlineLevel="0" collapsed="false">
      <c r="A31" s="11" t="s">
        <v>1036</v>
      </c>
      <c r="B31" s="10" t="s">
        <v>1037</v>
      </c>
      <c r="C31" s="10" t="s">
        <v>1038</v>
      </c>
      <c r="D31" s="10" t="s">
        <v>1039</v>
      </c>
      <c r="E31" s="10" t="s">
        <v>1040</v>
      </c>
      <c r="F31" s="10" t="s">
        <v>922</v>
      </c>
      <c r="G31" s="10" t="s">
        <v>1041</v>
      </c>
      <c r="H31" s="8"/>
      <c r="I31" s="8"/>
      <c r="J31" s="8"/>
    </row>
    <row r="32" customFormat="false" ht="55.5" hidden="false" customHeight="true" outlineLevel="0" collapsed="false">
      <c r="A32" s="11" t="s">
        <v>1042</v>
      </c>
      <c r="B32" s="10" t="s">
        <v>1043</v>
      </c>
      <c r="C32" s="10" t="s">
        <v>1044</v>
      </c>
      <c r="D32" s="10" t="s">
        <v>1045</v>
      </c>
      <c r="E32" s="10" t="s">
        <v>1046</v>
      </c>
      <c r="F32" s="10" t="s">
        <v>922</v>
      </c>
      <c r="G32" s="10" t="s">
        <v>1047</v>
      </c>
      <c r="H32" s="8"/>
      <c r="I32" s="8"/>
      <c r="J32" s="8"/>
    </row>
    <row r="33" customFormat="false" ht="81.75" hidden="false" customHeight="true" outlineLevel="0" collapsed="false">
      <c r="A33" s="11" t="s">
        <v>1048</v>
      </c>
      <c r="B33" s="10" t="s">
        <v>1049</v>
      </c>
      <c r="C33" s="10" t="s">
        <v>1050</v>
      </c>
      <c r="D33" s="10" t="s">
        <v>1051</v>
      </c>
      <c r="E33" s="10" t="s">
        <v>1052</v>
      </c>
      <c r="F33" s="10" t="s">
        <v>922</v>
      </c>
      <c r="G33" s="10" t="s">
        <v>1053</v>
      </c>
      <c r="H33" s="8"/>
      <c r="I33" s="8"/>
      <c r="J33" s="8"/>
    </row>
    <row r="34" customFormat="false" ht="81.75" hidden="false" customHeight="true" outlineLevel="0" collapsed="false">
      <c r="A34" s="11" t="s">
        <v>1054</v>
      </c>
      <c r="B34" s="10" t="s">
        <v>1055</v>
      </c>
      <c r="C34" s="10" t="s">
        <v>1056</v>
      </c>
      <c r="D34" s="10" t="s">
        <v>1057</v>
      </c>
      <c r="E34" s="10" t="s">
        <v>1058</v>
      </c>
      <c r="F34" s="10" t="s">
        <v>897</v>
      </c>
      <c r="G34" s="10" t="s">
        <v>1059</v>
      </c>
      <c r="H34" s="8"/>
      <c r="I34" s="8"/>
      <c r="J34" s="8"/>
    </row>
    <row r="35" customFormat="false" ht="69" hidden="false" customHeight="true" outlineLevel="0" collapsed="false">
      <c r="A35" s="11" t="s">
        <v>1060</v>
      </c>
      <c r="B35" s="10" t="s">
        <v>1061</v>
      </c>
      <c r="C35" s="10" t="s">
        <v>1062</v>
      </c>
      <c r="D35" s="10" t="s">
        <v>1063</v>
      </c>
      <c r="E35" s="10" t="s">
        <v>1064</v>
      </c>
      <c r="F35" s="10" t="s">
        <v>922</v>
      </c>
      <c r="G35" s="10" t="s">
        <v>1065</v>
      </c>
      <c r="H35" s="8"/>
      <c r="I35" s="8"/>
      <c r="J35" s="8"/>
    </row>
    <row r="36" customFormat="false" ht="94.5" hidden="false" customHeight="true" outlineLevel="0" collapsed="false">
      <c r="A36" s="11" t="s">
        <v>1066</v>
      </c>
      <c r="B36" s="10" t="s">
        <v>1067</v>
      </c>
      <c r="C36" s="10" t="s">
        <v>1068</v>
      </c>
      <c r="D36" s="10" t="s">
        <v>1069</v>
      </c>
      <c r="E36" s="10" t="s">
        <v>1070</v>
      </c>
      <c r="F36" s="10" t="s">
        <v>897</v>
      </c>
      <c r="G36" s="10" t="s">
        <v>1071</v>
      </c>
      <c r="H36" s="8"/>
      <c r="I36" s="8"/>
      <c r="J36" s="8"/>
    </row>
    <row r="37" customFormat="false" ht="94.5" hidden="false" customHeight="true" outlineLevel="0" collapsed="false">
      <c r="A37" s="11" t="s">
        <v>1072</v>
      </c>
      <c r="B37" s="10" t="s">
        <v>1073</v>
      </c>
      <c r="C37" s="10" t="s">
        <v>1074</v>
      </c>
      <c r="D37" s="10" t="s">
        <v>1075</v>
      </c>
      <c r="E37" s="10" t="s">
        <v>1076</v>
      </c>
      <c r="F37" s="10" t="s">
        <v>897</v>
      </c>
      <c r="G37" s="10" t="s">
        <v>1077</v>
      </c>
      <c r="H37" s="8"/>
      <c r="I37" s="8"/>
      <c r="J37" s="8"/>
    </row>
    <row r="38" customFormat="false" ht="94.5" hidden="false" customHeight="true" outlineLevel="0" collapsed="false">
      <c r="A38" s="11" t="s">
        <v>1078</v>
      </c>
      <c r="B38" s="10" t="s">
        <v>1079</v>
      </c>
      <c r="C38" s="10" t="s">
        <v>1080</v>
      </c>
      <c r="D38" s="10" t="s">
        <v>1081</v>
      </c>
      <c r="E38" s="10" t="s">
        <v>1082</v>
      </c>
      <c r="F38" s="10" t="s">
        <v>897</v>
      </c>
      <c r="G38" s="10" t="s">
        <v>1083</v>
      </c>
      <c r="H38" s="8"/>
      <c r="I38" s="8"/>
      <c r="J38" s="8"/>
    </row>
    <row r="39" customFormat="false" ht="81.75" hidden="false" customHeight="true" outlineLevel="0" collapsed="false">
      <c r="A39" s="11" t="s">
        <v>1084</v>
      </c>
      <c r="B39" s="10" t="s">
        <v>1085</v>
      </c>
      <c r="C39" s="10" t="s">
        <v>1086</v>
      </c>
      <c r="D39" s="10" t="s">
        <v>1087</v>
      </c>
      <c r="E39" s="10" t="s">
        <v>1088</v>
      </c>
      <c r="F39" s="10" t="s">
        <v>890</v>
      </c>
      <c r="G39" s="10" t="s">
        <v>1089</v>
      </c>
      <c r="H39" s="8"/>
      <c r="I39" s="8"/>
      <c r="J39" s="8"/>
    </row>
    <row r="40" customFormat="false" ht="81.75" hidden="false" customHeight="true" outlineLevel="0" collapsed="false">
      <c r="A40" s="11" t="s">
        <v>1090</v>
      </c>
      <c r="B40" s="10" t="s">
        <v>1091</v>
      </c>
      <c r="C40" s="10" t="s">
        <v>1092</v>
      </c>
      <c r="D40" s="10" t="s">
        <v>1093</v>
      </c>
      <c r="E40" s="10" t="s">
        <v>1094</v>
      </c>
      <c r="F40" s="10" t="s">
        <v>897</v>
      </c>
      <c r="G40" s="10" t="s">
        <v>1095</v>
      </c>
      <c r="H40" s="8"/>
      <c r="I40" s="8"/>
      <c r="J40" s="8"/>
    </row>
    <row r="41" customFormat="false" ht="69" hidden="false" customHeight="true" outlineLevel="0" collapsed="false">
      <c r="A41" s="11" t="s">
        <v>1096</v>
      </c>
      <c r="B41" s="10" t="s">
        <v>1097</v>
      </c>
      <c r="C41" s="10" t="s">
        <v>1098</v>
      </c>
      <c r="D41" s="10" t="s">
        <v>1099</v>
      </c>
      <c r="E41" s="10" t="s">
        <v>1100</v>
      </c>
      <c r="F41" s="10" t="s">
        <v>922</v>
      </c>
      <c r="G41" s="10" t="s">
        <v>1101</v>
      </c>
      <c r="H41" s="8"/>
      <c r="I41" s="8"/>
      <c r="J41" s="8"/>
    </row>
    <row r="42" customFormat="false" ht="94.5" hidden="false" customHeight="true" outlineLevel="0" collapsed="false">
      <c r="A42" s="11" t="s">
        <v>1102</v>
      </c>
      <c r="B42" s="10" t="s">
        <v>1103</v>
      </c>
      <c r="C42" s="10" t="s">
        <v>1104</v>
      </c>
      <c r="D42" s="10" t="s">
        <v>1105</v>
      </c>
      <c r="E42" s="10" t="s">
        <v>1106</v>
      </c>
      <c r="F42" s="10" t="s">
        <v>897</v>
      </c>
      <c r="G42" s="10" t="s">
        <v>1107</v>
      </c>
      <c r="H42" s="8"/>
      <c r="I42" s="8"/>
      <c r="J42" s="8"/>
    </row>
    <row r="43" customFormat="false" ht="69" hidden="false" customHeight="true" outlineLevel="0" collapsed="false">
      <c r="A43" s="11" t="s">
        <v>1108</v>
      </c>
      <c r="B43" s="10" t="s">
        <v>1109</v>
      </c>
      <c r="C43" s="10" t="s">
        <v>1110</v>
      </c>
      <c r="D43" s="10" t="s">
        <v>1111</v>
      </c>
      <c r="E43" s="10" t="s">
        <v>1112</v>
      </c>
      <c r="F43" s="10" t="s">
        <v>897</v>
      </c>
      <c r="G43" s="10" t="s">
        <v>1113</v>
      </c>
      <c r="H43" s="8"/>
      <c r="I43" s="8"/>
      <c r="J43" s="8"/>
    </row>
    <row r="44" customFormat="false" ht="108" hidden="false" customHeight="true" outlineLevel="0" collapsed="false">
      <c r="A44" s="11" t="s">
        <v>1114</v>
      </c>
      <c r="B44" s="10" t="s">
        <v>1115</v>
      </c>
      <c r="C44" s="10" t="s">
        <v>1116</v>
      </c>
      <c r="D44" s="10" t="s">
        <v>1117</v>
      </c>
      <c r="E44" s="10" t="s">
        <v>232</v>
      </c>
      <c r="F44" s="10" t="s">
        <v>922</v>
      </c>
      <c r="G44" s="10" t="s">
        <v>1118</v>
      </c>
      <c r="H44" s="8"/>
      <c r="I44" s="8"/>
      <c r="J44" s="8"/>
    </row>
    <row r="45" customFormat="false" ht="94.5" hidden="false" customHeight="true" outlineLevel="0" collapsed="false">
      <c r="A45" s="11" t="s">
        <v>1119</v>
      </c>
      <c r="B45" s="10" t="s">
        <v>1120</v>
      </c>
      <c r="C45" s="10" t="s">
        <v>1121</v>
      </c>
      <c r="D45" s="10" t="s">
        <v>1122</v>
      </c>
      <c r="E45" s="10" t="s">
        <v>378</v>
      </c>
      <c r="F45" s="10" t="s">
        <v>897</v>
      </c>
      <c r="G45" s="10" t="s">
        <v>1123</v>
      </c>
      <c r="H45" s="8"/>
      <c r="I45" s="8"/>
      <c r="J45" s="8"/>
    </row>
    <row r="46" customFormat="false" ht="108" hidden="false" customHeight="true" outlineLevel="0" collapsed="false">
      <c r="A46" s="11" t="s">
        <v>1124</v>
      </c>
      <c r="B46" s="10" t="s">
        <v>1125</v>
      </c>
      <c r="C46" s="10" t="s">
        <v>1126</v>
      </c>
      <c r="D46" s="10" t="s">
        <v>1127</v>
      </c>
      <c r="E46" s="10" t="s">
        <v>1128</v>
      </c>
      <c r="F46" s="10" t="s">
        <v>897</v>
      </c>
      <c r="G46" s="10" t="s">
        <v>1129</v>
      </c>
      <c r="H46" s="8"/>
      <c r="I46" s="8"/>
      <c r="J46" s="8"/>
    </row>
    <row r="47" customFormat="false" ht="94.5" hidden="false" customHeight="true" outlineLevel="0" collapsed="false">
      <c r="A47" s="11" t="s">
        <v>1130</v>
      </c>
      <c r="B47" s="10" t="s">
        <v>1131</v>
      </c>
      <c r="C47" s="10" t="s">
        <v>1132</v>
      </c>
      <c r="D47" s="10" t="s">
        <v>1133</v>
      </c>
      <c r="E47" s="10" t="s">
        <v>1134</v>
      </c>
      <c r="F47" s="10" t="s">
        <v>897</v>
      </c>
      <c r="G47" s="10" t="s">
        <v>1135</v>
      </c>
      <c r="H47" s="8"/>
      <c r="I47" s="8"/>
      <c r="J47" s="8"/>
    </row>
    <row r="48" customFormat="false" ht="81.75" hidden="false" customHeight="true" outlineLevel="0" collapsed="false">
      <c r="A48" s="11" t="s">
        <v>1136</v>
      </c>
      <c r="B48" s="10" t="s">
        <v>1137</v>
      </c>
      <c r="C48" s="10" t="s">
        <v>1138</v>
      </c>
      <c r="D48" s="10" t="s">
        <v>1139</v>
      </c>
      <c r="E48" s="10" t="s">
        <v>1140</v>
      </c>
      <c r="F48" s="10" t="s">
        <v>897</v>
      </c>
      <c r="G48" s="10" t="s">
        <v>1141</v>
      </c>
      <c r="H48" s="8"/>
      <c r="I48" s="8"/>
      <c r="J48" s="8"/>
    </row>
    <row r="49" customFormat="false" ht="81.75" hidden="false" customHeight="true" outlineLevel="0" collapsed="false">
      <c r="A49" s="11" t="s">
        <v>1142</v>
      </c>
      <c r="B49" s="10" t="s">
        <v>1143</v>
      </c>
      <c r="C49" s="10" t="s">
        <v>1144</v>
      </c>
      <c r="D49" s="10" t="s">
        <v>1145</v>
      </c>
      <c r="E49" s="10" t="s">
        <v>1146</v>
      </c>
      <c r="F49" s="10" t="s">
        <v>922</v>
      </c>
      <c r="G49" s="10" t="s">
        <v>1147</v>
      </c>
      <c r="H49" s="8"/>
      <c r="I49" s="8"/>
      <c r="J49" s="8"/>
    </row>
    <row r="50" customFormat="false" ht="55.5" hidden="false" customHeight="true" outlineLevel="0" collapsed="false">
      <c r="A50" s="11" t="s">
        <v>1148</v>
      </c>
      <c r="B50" s="10" t="s">
        <v>1149</v>
      </c>
      <c r="C50" s="10" t="s">
        <v>1150</v>
      </c>
      <c r="D50" s="10" t="s">
        <v>1151</v>
      </c>
      <c r="E50" s="10" t="s">
        <v>1152</v>
      </c>
      <c r="F50" s="10" t="s">
        <v>922</v>
      </c>
      <c r="G50" s="10" t="s">
        <v>1153</v>
      </c>
      <c r="H50" s="8"/>
      <c r="I50" s="8"/>
      <c r="J50" s="8"/>
    </row>
    <row r="51" customFormat="false" ht="120.75" hidden="false" customHeight="true" outlineLevel="0" collapsed="false">
      <c r="A51" s="11" t="s">
        <v>1154</v>
      </c>
      <c r="B51" s="10" t="s">
        <v>1155</v>
      </c>
      <c r="C51" s="10" t="s">
        <v>1156</v>
      </c>
      <c r="D51" s="10" t="s">
        <v>1157</v>
      </c>
      <c r="E51" s="10" t="s">
        <v>1158</v>
      </c>
      <c r="F51" s="10" t="s">
        <v>897</v>
      </c>
      <c r="G51" s="10" t="s">
        <v>1159</v>
      </c>
      <c r="H51" s="8"/>
      <c r="I51" s="8"/>
      <c r="J51" s="8"/>
    </row>
    <row r="52" customFormat="false" ht="94.5" hidden="false" customHeight="true" outlineLevel="0" collapsed="false">
      <c r="A52" s="11" t="s">
        <v>1160</v>
      </c>
      <c r="B52" s="10" t="s">
        <v>1161</v>
      </c>
      <c r="C52" s="10" t="s">
        <v>1162</v>
      </c>
      <c r="D52" s="10" t="s">
        <v>1163</v>
      </c>
      <c r="E52" s="10" t="s">
        <v>1164</v>
      </c>
      <c r="F52" s="10" t="s">
        <v>922</v>
      </c>
      <c r="G52" s="10" t="s">
        <v>1165</v>
      </c>
      <c r="H52" s="8"/>
      <c r="I52" s="8"/>
      <c r="J52" s="8"/>
    </row>
    <row r="53" customFormat="false" ht="120.75" hidden="false" customHeight="true" outlineLevel="0" collapsed="false">
      <c r="A53" s="11" t="s">
        <v>1166</v>
      </c>
      <c r="B53" s="10" t="s">
        <v>1167</v>
      </c>
      <c r="C53" s="10" t="s">
        <v>1168</v>
      </c>
      <c r="D53" s="10" t="s">
        <v>1169</v>
      </c>
      <c r="E53" s="10" t="s">
        <v>439</v>
      </c>
      <c r="F53" s="10" t="s">
        <v>922</v>
      </c>
      <c r="G53" s="10" t="s">
        <v>1170</v>
      </c>
      <c r="H53" s="8"/>
      <c r="I53" s="8"/>
      <c r="J53" s="8"/>
    </row>
    <row r="54" customFormat="false" ht="55.5" hidden="false" customHeight="true" outlineLevel="0" collapsed="false">
      <c r="A54" s="11" t="s">
        <v>1171</v>
      </c>
      <c r="B54" s="10" t="s">
        <v>1172</v>
      </c>
      <c r="C54" s="10" t="s">
        <v>1173</v>
      </c>
      <c r="D54" s="10" t="s">
        <v>1174</v>
      </c>
      <c r="E54" s="10" t="s">
        <v>462</v>
      </c>
      <c r="F54" s="10" t="s">
        <v>922</v>
      </c>
      <c r="G54" s="10" t="s">
        <v>1175</v>
      </c>
      <c r="H54" s="8"/>
      <c r="I54" s="8"/>
      <c r="J54" s="8"/>
    </row>
    <row r="55" customFormat="false" ht="120.75" hidden="false" customHeight="true" outlineLevel="0" collapsed="false">
      <c r="A55" s="11" t="s">
        <v>1176</v>
      </c>
      <c r="B55" s="10" t="s">
        <v>1177</v>
      </c>
      <c r="C55" s="10" t="s">
        <v>1178</v>
      </c>
      <c r="D55" s="10" t="s">
        <v>1179</v>
      </c>
      <c r="E55" s="10" t="s">
        <v>1180</v>
      </c>
      <c r="F55" s="10" t="s">
        <v>890</v>
      </c>
      <c r="G55" s="10" t="s">
        <v>1181</v>
      </c>
      <c r="H55" s="8"/>
      <c r="I55" s="8"/>
      <c r="J55" s="8"/>
    </row>
    <row r="56" customFormat="false" ht="276.75" hidden="false" customHeight="true" outlineLevel="0" collapsed="false">
      <c r="A56" s="11" t="s">
        <v>1182</v>
      </c>
      <c r="B56" s="10" t="s">
        <v>1183</v>
      </c>
      <c r="C56" s="10" t="s">
        <v>1184</v>
      </c>
      <c r="D56" s="10" t="s">
        <v>1185</v>
      </c>
      <c r="E56" s="10" t="s">
        <v>1186</v>
      </c>
      <c r="F56" s="10" t="s">
        <v>922</v>
      </c>
      <c r="G56" s="10" t="s">
        <v>1187</v>
      </c>
      <c r="H56" s="8"/>
      <c r="I56" s="8"/>
      <c r="J56" s="8"/>
    </row>
    <row r="57" customFormat="false" ht="69" hidden="false" customHeight="true" outlineLevel="0" collapsed="false">
      <c r="A57" s="11" t="s">
        <v>1188</v>
      </c>
      <c r="B57" s="10" t="s">
        <v>1189</v>
      </c>
      <c r="C57" s="10" t="s">
        <v>1190</v>
      </c>
      <c r="D57" s="10" t="s">
        <v>1191</v>
      </c>
      <c r="E57" s="10" t="s">
        <v>1192</v>
      </c>
      <c r="F57" s="10" t="s">
        <v>922</v>
      </c>
      <c r="G57" s="10" t="s">
        <v>1193</v>
      </c>
      <c r="H57" s="8"/>
      <c r="I57" s="8"/>
      <c r="J57" s="8"/>
    </row>
    <row r="58" customFormat="false" ht="69" hidden="false" customHeight="true" outlineLevel="0" collapsed="false">
      <c r="A58" s="11" t="s">
        <v>1194</v>
      </c>
      <c r="B58" s="10" t="s">
        <v>501</v>
      </c>
      <c r="C58" s="10" t="s">
        <v>1195</v>
      </c>
      <c r="D58" s="10" t="s">
        <v>1196</v>
      </c>
      <c r="E58" s="10" t="s">
        <v>1197</v>
      </c>
      <c r="F58" s="10" t="s">
        <v>922</v>
      </c>
      <c r="G58" s="10" t="s">
        <v>1198</v>
      </c>
      <c r="H58" s="8"/>
      <c r="I58" s="8"/>
      <c r="J58" s="8"/>
    </row>
    <row r="59" customFormat="false" ht="55.5" hidden="false" customHeight="true" outlineLevel="0" collapsed="false">
      <c r="A59" s="11" t="s">
        <v>1199</v>
      </c>
      <c r="B59" s="10" t="s">
        <v>1200</v>
      </c>
      <c r="C59" s="10" t="s">
        <v>1201</v>
      </c>
      <c r="D59" s="10" t="s">
        <v>1202</v>
      </c>
      <c r="E59" s="10" t="s">
        <v>508</v>
      </c>
      <c r="F59" s="10" t="s">
        <v>890</v>
      </c>
      <c r="G59" s="10" t="s">
        <v>1203</v>
      </c>
      <c r="H59" s="8"/>
      <c r="I59" s="8"/>
      <c r="J59" s="8"/>
    </row>
    <row r="60" customFormat="false" ht="55.5" hidden="false" customHeight="true" outlineLevel="0" collapsed="false">
      <c r="A60" s="11" t="s">
        <v>1204</v>
      </c>
      <c r="B60" s="10" t="s">
        <v>1205</v>
      </c>
      <c r="C60" s="10" t="s">
        <v>1206</v>
      </c>
      <c r="D60" s="10" t="s">
        <v>1207</v>
      </c>
      <c r="E60" s="10" t="s">
        <v>1208</v>
      </c>
      <c r="F60" s="10" t="s">
        <v>922</v>
      </c>
      <c r="G60" s="10" t="s">
        <v>1209</v>
      </c>
      <c r="H60" s="8"/>
      <c r="I60" s="8"/>
      <c r="J60" s="8"/>
    </row>
    <row r="61" customFormat="false" ht="172.5" hidden="false" customHeight="true" outlineLevel="0" collapsed="false">
      <c r="A61" s="11" t="s">
        <v>1210</v>
      </c>
      <c r="B61" s="10" t="s">
        <v>1211</v>
      </c>
      <c r="C61" s="10" t="s">
        <v>1212</v>
      </c>
      <c r="D61" s="10" t="s">
        <v>1213</v>
      </c>
      <c r="E61" s="10" t="s">
        <v>1214</v>
      </c>
      <c r="F61" s="10" t="s">
        <v>922</v>
      </c>
      <c r="G61" s="10" t="s">
        <v>1215</v>
      </c>
      <c r="H61" s="8"/>
      <c r="I61" s="8"/>
      <c r="J61" s="8"/>
    </row>
    <row r="62" customFormat="false" ht="94.5" hidden="false" customHeight="true" outlineLevel="0" collapsed="false">
      <c r="A62" s="11" t="s">
        <v>1216</v>
      </c>
      <c r="B62" s="10" t="s">
        <v>1217</v>
      </c>
      <c r="C62" s="10" t="s">
        <v>1218</v>
      </c>
      <c r="D62" s="10" t="s">
        <v>1219</v>
      </c>
      <c r="E62" s="10" t="s">
        <v>1220</v>
      </c>
      <c r="F62" s="10" t="s">
        <v>897</v>
      </c>
      <c r="G62" s="10" t="s">
        <v>1221</v>
      </c>
      <c r="H62" s="8"/>
      <c r="I62" s="8"/>
      <c r="J62" s="8"/>
    </row>
    <row r="63" customFormat="false" ht="94.5" hidden="false" customHeight="true" outlineLevel="0" collapsed="false">
      <c r="A63" s="11" t="s">
        <v>1222</v>
      </c>
      <c r="B63" s="10" t="s">
        <v>1223</v>
      </c>
      <c r="C63" s="10" t="s">
        <v>1224</v>
      </c>
      <c r="D63" s="10" t="s">
        <v>1225</v>
      </c>
      <c r="E63" s="10" t="s">
        <v>1226</v>
      </c>
      <c r="F63" s="10" t="s">
        <v>897</v>
      </c>
      <c r="G63" s="10" t="s">
        <v>1227</v>
      </c>
      <c r="H63" s="8"/>
      <c r="I63" s="8"/>
      <c r="J63" s="8"/>
    </row>
    <row r="64" customFormat="false" ht="94.5" hidden="false" customHeight="true" outlineLevel="0" collapsed="false">
      <c r="A64" s="11" t="s">
        <v>1228</v>
      </c>
      <c r="B64" s="10" t="s">
        <v>1229</v>
      </c>
      <c r="C64" s="10" t="s">
        <v>1230</v>
      </c>
      <c r="D64" s="10" t="s">
        <v>1231</v>
      </c>
      <c r="E64" s="10" t="s">
        <v>1220</v>
      </c>
      <c r="F64" s="10" t="s">
        <v>890</v>
      </c>
      <c r="G64" s="10" t="s">
        <v>1232</v>
      </c>
      <c r="H64" s="8"/>
      <c r="I64" s="8"/>
      <c r="J64" s="8"/>
    </row>
  </sheetData>
  <autoFilter ref="A4:J64"/>
  <conditionalFormatting sqref="H5:H64">
    <cfRule type="cellIs" priority="2" operator="equal" aboveAverage="0" equalAverage="0" bottom="0" percent="0" rank="0" text="" dxfId="1">
      <formula>"Approve"</formula>
    </cfRule>
    <cfRule type="cellIs" priority="3" operator="equal" aboveAverage="0" equalAverage="0" bottom="0" percent="0" rank="0" text="" dxfId="0">
      <formula>"Approve with changes"</formula>
    </cfRule>
    <cfRule type="cellIs" priority="4" operator="equal" aboveAverage="0" equalAverage="0" bottom="0" percent="0" rank="0" text="" dxfId="0">
      <formula>"Defer"</formula>
    </cfRule>
    <cfRule type="cellIs" priority="5" operator="equal" aboveAverage="0" equalAverage="0" bottom="0" percent="0" rank="0" text="" dxfId="0">
      <formula>"Need more info"</formula>
    </cfRule>
    <cfRule type="cellIs" priority="6" operator="equal" aboveAverage="0" equalAverage="0" bottom="0" percent="0" rank="0" text="" dxfId="7">
      <formula>"Reject"</formula>
    </cfRule>
  </conditionalFormatting>
  <dataValidations count="1">
    <dataValidation allowBlank="true" error="Pick a value from the list." errorStyle="stop" errorTitle="Invalid entry" operator="between" prompt="Pick one: Approve / Approve with changes / Reject / Defer / Need more info" promptTitle="Your response" showDropDown="false" showErrorMessage="true" showInputMessage="false" sqref="H5:H64" type="list">
      <formula1>"Approve,Approve with changes,Reject,Defer,Need more info"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6"/>
    <col collapsed="false" customWidth="true" hidden="false" outlineLevel="0" max="3" min="3" style="0" width="46"/>
    <col collapsed="false" customWidth="true" hidden="false" outlineLevel="0" max="4" min="4" style="0" width="40"/>
    <col collapsed="false" customWidth="true" hidden="false" outlineLevel="0" max="5" min="5" style="0" width="36"/>
    <col collapsed="false" customWidth="true" hidden="false" outlineLevel="0" max="6" min="6" style="0" width="15"/>
    <col collapsed="false" customWidth="true" hidden="false" outlineLevel="0" max="7" min="7" style="0" width="30"/>
    <col collapsed="false" customWidth="true" hidden="false" outlineLevel="0" max="8" min="8" style="0" width="18"/>
    <col collapsed="false" customWidth="true" hidden="false" outlineLevel="0" max="9" min="9" style="0" width="30"/>
    <col collapsed="false" customWidth="true" hidden="false" outlineLevel="0" max="10" min="10" style="0" width="36"/>
  </cols>
  <sheetData>
    <row r="1" customFormat="false" ht="17.35" hidden="false" customHeight="false" outlineLevel="0" collapsed="false">
      <c r="A1" s="1" t="s">
        <v>1233</v>
      </c>
    </row>
    <row r="2" customFormat="false" ht="15" hidden="false" customHeight="false" outlineLevel="0" collapsed="false">
      <c r="A2" s="15" t="s">
        <v>1234</v>
      </c>
    </row>
    <row r="4" customFormat="false" ht="15" hidden="false" customHeight="false" outlineLevel="0" collapsed="false">
      <c r="A4" s="9" t="s">
        <v>10</v>
      </c>
      <c r="B4" s="9" t="s">
        <v>47</v>
      </c>
      <c r="C4" s="9" t="s">
        <v>1235</v>
      </c>
      <c r="D4" s="9" t="s">
        <v>14</v>
      </c>
      <c r="E4" s="9" t="s">
        <v>1236</v>
      </c>
      <c r="F4" s="9" t="s">
        <v>51</v>
      </c>
      <c r="G4" s="9" t="s">
        <v>53</v>
      </c>
      <c r="H4" s="9" t="s">
        <v>16</v>
      </c>
      <c r="I4" s="9" t="s">
        <v>18</v>
      </c>
      <c r="J4" s="9" t="s">
        <v>20</v>
      </c>
    </row>
    <row r="5" customFormat="false" ht="69" hidden="false" customHeight="true" outlineLevel="0" collapsed="false">
      <c r="A5" s="11" t="s">
        <v>1237</v>
      </c>
      <c r="B5" s="10" t="s">
        <v>1238</v>
      </c>
      <c r="C5" s="10" t="s">
        <v>1239</v>
      </c>
      <c r="D5" s="16" t="s">
        <v>1240</v>
      </c>
      <c r="E5" s="10" t="s">
        <v>1241</v>
      </c>
      <c r="F5" s="10" t="s">
        <v>60</v>
      </c>
      <c r="G5" s="10" t="s">
        <v>1242</v>
      </c>
      <c r="H5" s="8"/>
      <c r="I5" s="8"/>
      <c r="J5" s="8"/>
    </row>
    <row r="6" customFormat="false" ht="69" hidden="false" customHeight="true" outlineLevel="0" collapsed="false">
      <c r="A6" s="11" t="s">
        <v>1243</v>
      </c>
      <c r="B6" s="10" t="s">
        <v>1244</v>
      </c>
      <c r="C6" s="10" t="s">
        <v>1245</v>
      </c>
      <c r="D6" s="16" t="s">
        <v>1246</v>
      </c>
      <c r="E6" s="10" t="s">
        <v>1247</v>
      </c>
      <c r="F6" s="10" t="s">
        <v>60</v>
      </c>
      <c r="G6" s="10" t="s">
        <v>1248</v>
      </c>
      <c r="H6" s="8"/>
      <c r="I6" s="8"/>
      <c r="J6" s="8"/>
    </row>
    <row r="7" customFormat="false" ht="108" hidden="false" customHeight="true" outlineLevel="0" collapsed="false">
      <c r="A7" s="11" t="s">
        <v>1249</v>
      </c>
      <c r="B7" s="10" t="s">
        <v>1250</v>
      </c>
      <c r="C7" s="10" t="s">
        <v>1251</v>
      </c>
      <c r="D7" s="16" t="s">
        <v>1252</v>
      </c>
      <c r="E7" s="10" t="s">
        <v>1253</v>
      </c>
      <c r="F7" s="10" t="s">
        <v>257</v>
      </c>
      <c r="G7" s="10" t="s">
        <v>1254</v>
      </c>
      <c r="H7" s="8"/>
      <c r="I7" s="8"/>
      <c r="J7" s="8"/>
    </row>
    <row r="8" customFormat="false" ht="69" hidden="false" customHeight="true" outlineLevel="0" collapsed="false">
      <c r="A8" s="11" t="s">
        <v>1255</v>
      </c>
      <c r="B8" s="10" t="s">
        <v>1256</v>
      </c>
      <c r="C8" s="10" t="s">
        <v>1257</v>
      </c>
      <c r="D8" s="16" t="s">
        <v>1258</v>
      </c>
      <c r="E8" s="10" t="s">
        <v>1259</v>
      </c>
      <c r="F8" s="10" t="s">
        <v>257</v>
      </c>
      <c r="G8" s="10" t="s">
        <v>1260</v>
      </c>
      <c r="H8" s="8"/>
      <c r="I8" s="8"/>
      <c r="J8" s="8"/>
    </row>
    <row r="9" customFormat="false" ht="55.5" hidden="false" customHeight="true" outlineLevel="0" collapsed="false">
      <c r="A9" s="11" t="s">
        <v>1261</v>
      </c>
      <c r="B9" s="10" t="s">
        <v>1262</v>
      </c>
      <c r="C9" s="10" t="s">
        <v>1263</v>
      </c>
      <c r="D9" s="16" t="s">
        <v>1264</v>
      </c>
      <c r="E9" s="10" t="s">
        <v>1265</v>
      </c>
      <c r="F9" s="10" t="s">
        <v>257</v>
      </c>
      <c r="G9" s="10" t="s">
        <v>1266</v>
      </c>
      <c r="H9" s="8"/>
      <c r="I9" s="8"/>
      <c r="J9" s="8"/>
    </row>
    <row r="10" customFormat="false" ht="94.5" hidden="false" customHeight="true" outlineLevel="0" collapsed="false">
      <c r="A10" s="11" t="s">
        <v>1267</v>
      </c>
      <c r="B10" s="10" t="s">
        <v>1268</v>
      </c>
      <c r="C10" s="10" t="s">
        <v>1269</v>
      </c>
      <c r="D10" s="16" t="s">
        <v>1270</v>
      </c>
      <c r="E10" s="10" t="s">
        <v>1271</v>
      </c>
      <c r="F10" s="10" t="s">
        <v>257</v>
      </c>
      <c r="G10" s="10" t="s">
        <v>1272</v>
      </c>
      <c r="H10" s="8"/>
      <c r="I10" s="8"/>
      <c r="J10" s="8"/>
    </row>
    <row r="11" customFormat="false" ht="55.5" hidden="false" customHeight="true" outlineLevel="0" collapsed="false">
      <c r="A11" s="11" t="s">
        <v>1273</v>
      </c>
      <c r="B11" s="10" t="s">
        <v>1274</v>
      </c>
      <c r="C11" s="10" t="s">
        <v>1275</v>
      </c>
      <c r="D11" s="16" t="s">
        <v>1276</v>
      </c>
      <c r="E11" s="10" t="s">
        <v>1277</v>
      </c>
      <c r="F11" s="10" t="s">
        <v>257</v>
      </c>
      <c r="G11" s="10" t="s">
        <v>1278</v>
      </c>
      <c r="H11" s="8"/>
      <c r="I11" s="8"/>
      <c r="J11" s="8"/>
    </row>
    <row r="12" customFormat="false" ht="55.5" hidden="false" customHeight="true" outlineLevel="0" collapsed="false">
      <c r="A12" s="11" t="s">
        <v>1279</v>
      </c>
      <c r="B12" s="10" t="s">
        <v>1280</v>
      </c>
      <c r="C12" s="10" t="s">
        <v>1281</v>
      </c>
      <c r="D12" s="16" t="s">
        <v>1282</v>
      </c>
      <c r="E12" s="10" t="s">
        <v>1283</v>
      </c>
      <c r="F12" s="10" t="s">
        <v>257</v>
      </c>
      <c r="G12" s="10" t="s">
        <v>1284</v>
      </c>
      <c r="H12" s="8"/>
      <c r="I12" s="8"/>
      <c r="J12" s="8"/>
    </row>
    <row r="13" customFormat="false" ht="55.5" hidden="false" customHeight="true" outlineLevel="0" collapsed="false">
      <c r="A13" s="11" t="s">
        <v>1285</v>
      </c>
      <c r="B13" s="10" t="s">
        <v>1286</v>
      </c>
      <c r="C13" s="10" t="s">
        <v>1287</v>
      </c>
      <c r="D13" s="16" t="s">
        <v>1288</v>
      </c>
      <c r="E13" s="10" t="s">
        <v>1289</v>
      </c>
      <c r="F13" s="10" t="s">
        <v>257</v>
      </c>
      <c r="G13" s="10" t="s">
        <v>1290</v>
      </c>
      <c r="H13" s="8"/>
      <c r="I13" s="8"/>
      <c r="J13" s="8"/>
    </row>
    <row r="14" customFormat="false" ht="42.75" hidden="false" customHeight="true" outlineLevel="0" collapsed="false">
      <c r="A14" s="11" t="s">
        <v>1291</v>
      </c>
      <c r="B14" s="10" t="s">
        <v>1292</v>
      </c>
      <c r="C14" s="10" t="s">
        <v>1293</v>
      </c>
      <c r="D14" s="16" t="s">
        <v>1294</v>
      </c>
      <c r="E14" s="10" t="s">
        <v>1295</v>
      </c>
      <c r="F14" s="10" t="s">
        <v>257</v>
      </c>
      <c r="G14" s="10" t="s">
        <v>1296</v>
      </c>
      <c r="H14" s="8"/>
      <c r="I14" s="8"/>
      <c r="J14" s="8"/>
    </row>
    <row r="15" customFormat="false" ht="55.5" hidden="false" customHeight="true" outlineLevel="0" collapsed="false">
      <c r="A15" s="11" t="s">
        <v>1297</v>
      </c>
      <c r="B15" s="10" t="s">
        <v>1298</v>
      </c>
      <c r="C15" s="10" t="s">
        <v>1299</v>
      </c>
      <c r="D15" s="16" t="s">
        <v>1300</v>
      </c>
      <c r="E15" s="10" t="s">
        <v>1301</v>
      </c>
      <c r="F15" s="10" t="s">
        <v>257</v>
      </c>
      <c r="G15" s="10" t="s">
        <v>1302</v>
      </c>
      <c r="H15" s="8"/>
      <c r="I15" s="8"/>
      <c r="J15" s="8"/>
    </row>
    <row r="16" customFormat="false" ht="55.5" hidden="false" customHeight="true" outlineLevel="0" collapsed="false">
      <c r="A16" s="11" t="s">
        <v>1303</v>
      </c>
      <c r="B16" s="10" t="s">
        <v>1304</v>
      </c>
      <c r="C16" s="10" t="s">
        <v>1305</v>
      </c>
      <c r="D16" s="16" t="s">
        <v>1306</v>
      </c>
      <c r="E16" s="10" t="s">
        <v>1307</v>
      </c>
      <c r="F16" s="10" t="s">
        <v>257</v>
      </c>
      <c r="G16" s="10" t="s">
        <v>1308</v>
      </c>
      <c r="H16" s="8"/>
      <c r="I16" s="8"/>
      <c r="J16" s="8"/>
    </row>
    <row r="17" customFormat="false" ht="69" hidden="false" customHeight="true" outlineLevel="0" collapsed="false">
      <c r="A17" s="11" t="s">
        <v>1309</v>
      </c>
      <c r="B17" s="10" t="s">
        <v>1310</v>
      </c>
      <c r="C17" s="10" t="s">
        <v>1311</v>
      </c>
      <c r="D17" s="16" t="s">
        <v>1312</v>
      </c>
      <c r="E17" s="10" t="s">
        <v>1313</v>
      </c>
      <c r="F17" s="10" t="s">
        <v>257</v>
      </c>
      <c r="G17" s="10" t="s">
        <v>1314</v>
      </c>
      <c r="H17" s="8"/>
      <c r="I17" s="8"/>
      <c r="J17" s="8"/>
    </row>
    <row r="18" customFormat="false" ht="42.75" hidden="false" customHeight="true" outlineLevel="0" collapsed="false">
      <c r="A18" s="11" t="s">
        <v>1315</v>
      </c>
      <c r="B18" s="10" t="s">
        <v>1316</v>
      </c>
      <c r="C18" s="10" t="s">
        <v>1317</v>
      </c>
      <c r="D18" s="16" t="s">
        <v>1318</v>
      </c>
      <c r="E18" s="10" t="s">
        <v>1319</v>
      </c>
      <c r="F18" s="10" t="s">
        <v>257</v>
      </c>
      <c r="G18" s="10" t="s">
        <v>1320</v>
      </c>
      <c r="H18" s="8"/>
      <c r="I18" s="8"/>
      <c r="J18" s="8"/>
    </row>
    <row r="19" customFormat="false" ht="81.75" hidden="false" customHeight="true" outlineLevel="0" collapsed="false">
      <c r="A19" s="11" t="s">
        <v>1321</v>
      </c>
      <c r="B19" s="10" t="s">
        <v>1322</v>
      </c>
      <c r="C19" s="10" t="s">
        <v>1323</v>
      </c>
      <c r="D19" s="16" t="s">
        <v>1324</v>
      </c>
      <c r="E19" s="10" t="s">
        <v>1325</v>
      </c>
      <c r="F19" s="10" t="s">
        <v>257</v>
      </c>
      <c r="G19" s="10" t="s">
        <v>1326</v>
      </c>
      <c r="H19" s="8"/>
      <c r="I19" s="8"/>
      <c r="J19" s="8"/>
    </row>
    <row r="20" customFormat="false" ht="69" hidden="false" customHeight="true" outlineLevel="0" collapsed="false">
      <c r="A20" s="11" t="s">
        <v>1327</v>
      </c>
      <c r="B20" s="10" t="s">
        <v>1322</v>
      </c>
      <c r="C20" s="10" t="s">
        <v>1328</v>
      </c>
      <c r="D20" s="16" t="s">
        <v>1329</v>
      </c>
      <c r="E20" s="10" t="s">
        <v>1330</v>
      </c>
      <c r="F20" s="10" t="s">
        <v>257</v>
      </c>
      <c r="G20" s="10" t="s">
        <v>1331</v>
      </c>
      <c r="H20" s="8"/>
      <c r="I20" s="8"/>
      <c r="J20" s="8"/>
    </row>
    <row r="21" customFormat="false" ht="42.75" hidden="false" customHeight="true" outlineLevel="0" collapsed="false">
      <c r="A21" s="11" t="s">
        <v>1332</v>
      </c>
      <c r="B21" s="10" t="s">
        <v>1322</v>
      </c>
      <c r="C21" s="10" t="s">
        <v>1333</v>
      </c>
      <c r="D21" s="16" t="s">
        <v>1334</v>
      </c>
      <c r="E21" s="10" t="s">
        <v>1335</v>
      </c>
      <c r="F21" s="10" t="s">
        <v>257</v>
      </c>
      <c r="G21" s="10" t="s">
        <v>1336</v>
      </c>
      <c r="H21" s="8"/>
      <c r="I21" s="8"/>
      <c r="J21" s="8"/>
    </row>
    <row r="22" customFormat="false" ht="55.5" hidden="false" customHeight="true" outlineLevel="0" collapsed="false">
      <c r="A22" s="11" t="s">
        <v>1337</v>
      </c>
      <c r="B22" s="10" t="s">
        <v>1322</v>
      </c>
      <c r="C22" s="10" t="s">
        <v>1338</v>
      </c>
      <c r="D22" s="16" t="s">
        <v>1339</v>
      </c>
      <c r="E22" s="10" t="s">
        <v>1340</v>
      </c>
      <c r="F22" s="10" t="s">
        <v>257</v>
      </c>
      <c r="G22" s="10" t="s">
        <v>1341</v>
      </c>
      <c r="H22" s="8"/>
      <c r="I22" s="8"/>
      <c r="J22" s="8"/>
    </row>
    <row r="23" customFormat="false" ht="69" hidden="false" customHeight="true" outlineLevel="0" collapsed="false">
      <c r="A23" s="11" t="s">
        <v>1342</v>
      </c>
      <c r="B23" s="10" t="s">
        <v>1322</v>
      </c>
      <c r="C23" s="10" t="s">
        <v>1343</v>
      </c>
      <c r="D23" s="16" t="s">
        <v>1344</v>
      </c>
      <c r="E23" s="10" t="s">
        <v>1345</v>
      </c>
      <c r="F23" s="10" t="s">
        <v>257</v>
      </c>
      <c r="G23" s="10" t="s">
        <v>1346</v>
      </c>
      <c r="H23" s="8"/>
      <c r="I23" s="8"/>
      <c r="J23" s="8"/>
    </row>
    <row r="24" customFormat="false" ht="69" hidden="false" customHeight="true" outlineLevel="0" collapsed="false">
      <c r="A24" s="11" t="s">
        <v>1347</v>
      </c>
      <c r="B24" s="10" t="s">
        <v>1322</v>
      </c>
      <c r="C24" s="10" t="s">
        <v>1348</v>
      </c>
      <c r="D24" s="16" t="s">
        <v>1349</v>
      </c>
      <c r="E24" s="10" t="s">
        <v>1350</v>
      </c>
      <c r="F24" s="10" t="s">
        <v>257</v>
      </c>
      <c r="G24" s="10" t="s">
        <v>1351</v>
      </c>
      <c r="H24" s="8"/>
      <c r="I24" s="8"/>
      <c r="J24" s="8"/>
    </row>
    <row r="25" customFormat="false" ht="69" hidden="false" customHeight="true" outlineLevel="0" collapsed="false">
      <c r="A25" s="11" t="s">
        <v>1352</v>
      </c>
      <c r="B25" s="10" t="s">
        <v>1322</v>
      </c>
      <c r="C25" s="10" t="s">
        <v>1353</v>
      </c>
      <c r="D25" s="16" t="s">
        <v>1354</v>
      </c>
      <c r="E25" s="10" t="s">
        <v>1355</v>
      </c>
      <c r="F25" s="10" t="s">
        <v>257</v>
      </c>
      <c r="G25" s="10" t="s">
        <v>1356</v>
      </c>
      <c r="H25" s="8"/>
      <c r="I25" s="8"/>
      <c r="J25" s="8"/>
    </row>
    <row r="26" customFormat="false" ht="81.75" hidden="false" customHeight="true" outlineLevel="0" collapsed="false">
      <c r="A26" s="11" t="s">
        <v>1357</v>
      </c>
      <c r="B26" s="10" t="s">
        <v>1322</v>
      </c>
      <c r="C26" s="10" t="s">
        <v>1358</v>
      </c>
      <c r="D26" s="16" t="s">
        <v>1359</v>
      </c>
      <c r="E26" s="10" t="s">
        <v>1360</v>
      </c>
      <c r="F26" s="10" t="s">
        <v>257</v>
      </c>
      <c r="G26" s="10" t="s">
        <v>1361</v>
      </c>
      <c r="H26" s="8"/>
      <c r="I26" s="8"/>
      <c r="J26" s="8"/>
    </row>
    <row r="27" customFormat="false" ht="55.5" hidden="false" customHeight="true" outlineLevel="0" collapsed="false">
      <c r="A27" s="11" t="s">
        <v>1362</v>
      </c>
      <c r="B27" s="10" t="s">
        <v>1322</v>
      </c>
      <c r="C27" s="10" t="s">
        <v>1363</v>
      </c>
      <c r="D27" s="16" t="s">
        <v>1364</v>
      </c>
      <c r="E27" s="10" t="s">
        <v>1365</v>
      </c>
      <c r="F27" s="10" t="s">
        <v>257</v>
      </c>
      <c r="G27" s="10" t="s">
        <v>1366</v>
      </c>
      <c r="H27" s="8"/>
      <c r="I27" s="8"/>
      <c r="J27" s="8"/>
    </row>
    <row r="28" customFormat="false" ht="55.5" hidden="false" customHeight="true" outlineLevel="0" collapsed="false">
      <c r="A28" s="11" t="s">
        <v>1367</v>
      </c>
      <c r="B28" s="10" t="s">
        <v>1322</v>
      </c>
      <c r="C28" s="10" t="s">
        <v>1368</v>
      </c>
      <c r="D28" s="16" t="s">
        <v>1369</v>
      </c>
      <c r="E28" s="10" t="s">
        <v>1370</v>
      </c>
      <c r="F28" s="10" t="s">
        <v>257</v>
      </c>
      <c r="G28" s="10" t="s">
        <v>1371</v>
      </c>
      <c r="H28" s="8"/>
      <c r="I28" s="8"/>
      <c r="J28" s="8"/>
    </row>
    <row r="29" customFormat="false" ht="69" hidden="false" customHeight="true" outlineLevel="0" collapsed="false">
      <c r="A29" s="11" t="s">
        <v>1372</v>
      </c>
      <c r="B29" s="10" t="s">
        <v>1373</v>
      </c>
      <c r="C29" s="10" t="s">
        <v>1374</v>
      </c>
      <c r="D29" s="16" t="s">
        <v>1375</v>
      </c>
      <c r="E29" s="10" t="s">
        <v>1376</v>
      </c>
      <c r="F29" s="10" t="s">
        <v>257</v>
      </c>
      <c r="G29" s="10" t="s">
        <v>1377</v>
      </c>
      <c r="H29" s="8"/>
      <c r="I29" s="8"/>
      <c r="J29" s="8"/>
    </row>
    <row r="30" customFormat="false" ht="69" hidden="false" customHeight="true" outlineLevel="0" collapsed="false">
      <c r="A30" s="11" t="s">
        <v>1378</v>
      </c>
      <c r="B30" s="10" t="s">
        <v>1373</v>
      </c>
      <c r="C30" s="10" t="s">
        <v>1379</v>
      </c>
      <c r="D30" s="16" t="s">
        <v>1380</v>
      </c>
      <c r="E30" s="10" t="s">
        <v>1381</v>
      </c>
      <c r="F30" s="10" t="s">
        <v>257</v>
      </c>
      <c r="G30" s="10" t="s">
        <v>1382</v>
      </c>
      <c r="H30" s="8"/>
      <c r="I30" s="8"/>
      <c r="J30" s="8"/>
    </row>
    <row r="31" customFormat="false" ht="69" hidden="false" customHeight="true" outlineLevel="0" collapsed="false">
      <c r="A31" s="11" t="s">
        <v>1383</v>
      </c>
      <c r="B31" s="10" t="s">
        <v>1322</v>
      </c>
      <c r="C31" s="10" t="s">
        <v>1384</v>
      </c>
      <c r="D31" s="16" t="s">
        <v>1385</v>
      </c>
      <c r="E31" s="10" t="s">
        <v>1386</v>
      </c>
      <c r="F31" s="10" t="s">
        <v>257</v>
      </c>
      <c r="G31" s="10" t="s">
        <v>1387</v>
      </c>
      <c r="H31" s="8"/>
      <c r="I31" s="8"/>
      <c r="J31" s="8"/>
    </row>
    <row r="32" customFormat="false" ht="69" hidden="false" customHeight="true" outlineLevel="0" collapsed="false">
      <c r="A32" s="11" t="s">
        <v>1388</v>
      </c>
      <c r="B32" s="10" t="s">
        <v>1389</v>
      </c>
      <c r="C32" s="10" t="s">
        <v>1390</v>
      </c>
      <c r="D32" s="16" t="s">
        <v>1391</v>
      </c>
      <c r="E32" s="10" t="s">
        <v>1392</v>
      </c>
      <c r="F32" s="10" t="s">
        <v>257</v>
      </c>
      <c r="G32" s="10" t="s">
        <v>1393</v>
      </c>
      <c r="H32" s="8"/>
      <c r="I32" s="8"/>
      <c r="J32" s="8"/>
    </row>
    <row r="33" customFormat="false" ht="55.5" hidden="false" customHeight="true" outlineLevel="0" collapsed="false">
      <c r="A33" s="11" t="s">
        <v>1394</v>
      </c>
      <c r="B33" s="10" t="s">
        <v>1389</v>
      </c>
      <c r="C33" s="10" t="s">
        <v>1395</v>
      </c>
      <c r="D33" s="16" t="s">
        <v>1396</v>
      </c>
      <c r="E33" s="10" t="s">
        <v>1397</v>
      </c>
      <c r="F33" s="10" t="s">
        <v>257</v>
      </c>
      <c r="G33" s="10" t="s">
        <v>1398</v>
      </c>
      <c r="H33" s="8"/>
      <c r="I33" s="8"/>
      <c r="J33" s="8"/>
    </row>
    <row r="34" customFormat="false" ht="69" hidden="false" customHeight="true" outlineLevel="0" collapsed="false">
      <c r="A34" s="11" t="s">
        <v>1399</v>
      </c>
      <c r="B34" s="10" t="s">
        <v>1400</v>
      </c>
      <c r="C34" s="10" t="s">
        <v>1401</v>
      </c>
      <c r="D34" s="16" t="s">
        <v>1402</v>
      </c>
      <c r="E34" s="10" t="s">
        <v>1403</v>
      </c>
      <c r="F34" s="10" t="s">
        <v>257</v>
      </c>
      <c r="G34" s="10" t="s">
        <v>1404</v>
      </c>
      <c r="H34" s="8"/>
      <c r="I34" s="8"/>
      <c r="J34" s="8"/>
    </row>
    <row r="35" customFormat="false" ht="69" hidden="false" customHeight="true" outlineLevel="0" collapsed="false">
      <c r="A35" s="11" t="s">
        <v>1405</v>
      </c>
      <c r="B35" s="10" t="s">
        <v>1406</v>
      </c>
      <c r="C35" s="10" t="s">
        <v>1407</v>
      </c>
      <c r="D35" s="16" t="s">
        <v>1408</v>
      </c>
      <c r="E35" s="10" t="s">
        <v>1409</v>
      </c>
      <c r="F35" s="10" t="s">
        <v>406</v>
      </c>
      <c r="G35" s="10" t="s">
        <v>1410</v>
      </c>
      <c r="H35" s="8"/>
      <c r="I35" s="8"/>
      <c r="J35" s="8"/>
    </row>
    <row r="36" customFormat="false" ht="55.5" hidden="false" customHeight="true" outlineLevel="0" collapsed="false">
      <c r="A36" s="11" t="s">
        <v>1411</v>
      </c>
      <c r="B36" s="10" t="s">
        <v>1412</v>
      </c>
      <c r="C36" s="10" t="s">
        <v>1413</v>
      </c>
      <c r="D36" s="16" t="s">
        <v>1414</v>
      </c>
      <c r="E36" s="10" t="s">
        <v>1415</v>
      </c>
      <c r="F36" s="10" t="s">
        <v>406</v>
      </c>
      <c r="G36" s="10" t="s">
        <v>1416</v>
      </c>
      <c r="H36" s="8"/>
      <c r="I36" s="8"/>
      <c r="J36" s="8"/>
    </row>
    <row r="37" customFormat="false" ht="81.75" hidden="false" customHeight="true" outlineLevel="0" collapsed="false">
      <c r="A37" s="11" t="s">
        <v>1417</v>
      </c>
      <c r="B37" s="10" t="s">
        <v>1418</v>
      </c>
      <c r="C37" s="10" t="s">
        <v>1419</v>
      </c>
      <c r="D37" s="16" t="s">
        <v>1420</v>
      </c>
      <c r="E37" s="10" t="s">
        <v>1421</v>
      </c>
      <c r="F37" s="10" t="s">
        <v>406</v>
      </c>
      <c r="G37" s="10" t="s">
        <v>1422</v>
      </c>
      <c r="H37" s="8"/>
      <c r="I37" s="8"/>
      <c r="J37" s="8"/>
    </row>
    <row r="38" customFormat="false" ht="55.5" hidden="false" customHeight="true" outlineLevel="0" collapsed="false">
      <c r="A38" s="11" t="s">
        <v>1423</v>
      </c>
      <c r="B38" s="10" t="s">
        <v>1424</v>
      </c>
      <c r="C38" s="10" t="s">
        <v>1425</v>
      </c>
      <c r="D38" s="16" t="s">
        <v>1426</v>
      </c>
      <c r="E38" s="10" t="s">
        <v>1427</v>
      </c>
      <c r="F38" s="10" t="s">
        <v>414</v>
      </c>
      <c r="G38" s="10" t="s">
        <v>1428</v>
      </c>
      <c r="H38" s="8"/>
      <c r="I38" s="8"/>
      <c r="J38" s="8"/>
    </row>
    <row r="39" customFormat="false" ht="55.5" hidden="false" customHeight="true" outlineLevel="0" collapsed="false">
      <c r="A39" s="11" t="s">
        <v>1429</v>
      </c>
      <c r="B39" s="10" t="s">
        <v>1430</v>
      </c>
      <c r="C39" s="10" t="s">
        <v>1431</v>
      </c>
      <c r="D39" s="16" t="s">
        <v>1432</v>
      </c>
      <c r="E39" s="10" t="s">
        <v>1433</v>
      </c>
      <c r="F39" s="10" t="s">
        <v>414</v>
      </c>
      <c r="G39" s="10" t="s">
        <v>1434</v>
      </c>
      <c r="H39" s="8"/>
      <c r="I39" s="8"/>
      <c r="J39" s="8"/>
    </row>
    <row r="40" customFormat="false" ht="55.5" hidden="false" customHeight="true" outlineLevel="0" collapsed="false">
      <c r="A40" s="11" t="s">
        <v>1435</v>
      </c>
      <c r="B40" s="10" t="s">
        <v>1436</v>
      </c>
      <c r="C40" s="10" t="s">
        <v>1437</v>
      </c>
      <c r="D40" s="16" t="s">
        <v>1438</v>
      </c>
      <c r="E40" s="10" t="s">
        <v>1439</v>
      </c>
      <c r="F40" s="10" t="s">
        <v>414</v>
      </c>
      <c r="G40" s="10" t="s">
        <v>1440</v>
      </c>
      <c r="H40" s="8"/>
      <c r="I40" s="8"/>
      <c r="J40" s="8"/>
    </row>
    <row r="41" customFormat="false" ht="42.75" hidden="false" customHeight="true" outlineLevel="0" collapsed="false">
      <c r="A41" s="11" t="s">
        <v>1441</v>
      </c>
      <c r="B41" s="10" t="s">
        <v>1442</v>
      </c>
      <c r="C41" s="10" t="s">
        <v>1443</v>
      </c>
      <c r="D41" s="16" t="s">
        <v>1444</v>
      </c>
      <c r="E41" s="10" t="s">
        <v>1445</v>
      </c>
      <c r="F41" s="10" t="s">
        <v>414</v>
      </c>
      <c r="G41" s="10" t="s">
        <v>1446</v>
      </c>
      <c r="H41" s="8"/>
      <c r="I41" s="8"/>
      <c r="J41" s="8"/>
    </row>
    <row r="42" customFormat="false" ht="94.5" hidden="false" customHeight="true" outlineLevel="0" collapsed="false">
      <c r="A42" s="11" t="s">
        <v>1447</v>
      </c>
      <c r="B42" s="10" t="s">
        <v>1448</v>
      </c>
      <c r="C42" s="10" t="s">
        <v>1449</v>
      </c>
      <c r="D42" s="16" t="s">
        <v>1450</v>
      </c>
      <c r="E42" s="10" t="s">
        <v>1451</v>
      </c>
      <c r="F42" s="10" t="s">
        <v>414</v>
      </c>
      <c r="G42" s="10" t="s">
        <v>1452</v>
      </c>
      <c r="H42" s="8"/>
      <c r="I42" s="8"/>
      <c r="J42" s="8"/>
    </row>
    <row r="43" customFormat="false" ht="42.75" hidden="false" customHeight="true" outlineLevel="0" collapsed="false">
      <c r="A43" s="11" t="s">
        <v>1453</v>
      </c>
      <c r="B43" s="10" t="s">
        <v>1454</v>
      </c>
      <c r="C43" s="10" t="s">
        <v>1455</v>
      </c>
      <c r="D43" s="16" t="s">
        <v>1456</v>
      </c>
      <c r="E43" s="10" t="s">
        <v>1457</v>
      </c>
      <c r="F43" s="10" t="s">
        <v>414</v>
      </c>
      <c r="G43" s="10" t="s">
        <v>1458</v>
      </c>
      <c r="H43" s="8"/>
      <c r="I43" s="8"/>
      <c r="J43" s="8"/>
    </row>
    <row r="44" customFormat="false" ht="42.75" hidden="false" customHeight="true" outlineLevel="0" collapsed="false">
      <c r="A44" s="11" t="s">
        <v>1459</v>
      </c>
      <c r="B44" s="10" t="s">
        <v>1454</v>
      </c>
      <c r="C44" s="10" t="s">
        <v>1460</v>
      </c>
      <c r="D44" s="16" t="s">
        <v>1461</v>
      </c>
      <c r="E44" s="10" t="s">
        <v>1462</v>
      </c>
      <c r="F44" s="10" t="s">
        <v>414</v>
      </c>
      <c r="G44" s="10" t="s">
        <v>1463</v>
      </c>
      <c r="H44" s="8"/>
      <c r="I44" s="8"/>
      <c r="J44" s="8"/>
    </row>
    <row r="45" customFormat="false" ht="94.5" hidden="false" customHeight="true" outlineLevel="0" collapsed="false">
      <c r="A45" s="11" t="s">
        <v>1464</v>
      </c>
      <c r="B45" s="10" t="s">
        <v>1465</v>
      </c>
      <c r="C45" s="10" t="s">
        <v>1466</v>
      </c>
      <c r="D45" s="16" t="s">
        <v>1467</v>
      </c>
      <c r="E45" s="10" t="s">
        <v>1468</v>
      </c>
      <c r="F45" s="10" t="s">
        <v>414</v>
      </c>
      <c r="G45" s="10" t="s">
        <v>1469</v>
      </c>
      <c r="H45" s="8"/>
      <c r="I45" s="8"/>
      <c r="J45" s="8"/>
    </row>
    <row r="46" customFormat="false" ht="55.5" hidden="false" customHeight="true" outlineLevel="0" collapsed="false">
      <c r="A46" s="11" t="s">
        <v>1470</v>
      </c>
      <c r="B46" s="10" t="s">
        <v>1465</v>
      </c>
      <c r="C46" s="10" t="s">
        <v>1471</v>
      </c>
      <c r="D46" s="16" t="s">
        <v>1472</v>
      </c>
      <c r="E46" s="10" t="s">
        <v>1473</v>
      </c>
      <c r="F46" s="10" t="s">
        <v>414</v>
      </c>
      <c r="G46" s="10" t="s">
        <v>1474</v>
      </c>
      <c r="H46" s="8"/>
      <c r="I46" s="8"/>
      <c r="J46" s="8"/>
    </row>
    <row r="47" customFormat="false" ht="42.75" hidden="false" customHeight="true" outlineLevel="0" collapsed="false">
      <c r="A47" s="11" t="s">
        <v>1475</v>
      </c>
      <c r="B47" s="10" t="s">
        <v>1465</v>
      </c>
      <c r="C47" s="10" t="s">
        <v>1476</v>
      </c>
      <c r="D47" s="16" t="s">
        <v>1477</v>
      </c>
      <c r="E47" s="10" t="s">
        <v>1478</v>
      </c>
      <c r="F47" s="10" t="s">
        <v>414</v>
      </c>
      <c r="G47" s="10" t="s">
        <v>1479</v>
      </c>
      <c r="H47" s="8"/>
      <c r="I47" s="8"/>
      <c r="J47" s="8"/>
    </row>
    <row r="48" customFormat="false" ht="55.5" hidden="false" customHeight="true" outlineLevel="0" collapsed="false">
      <c r="A48" s="11" t="s">
        <v>1480</v>
      </c>
      <c r="B48" s="10" t="s">
        <v>1400</v>
      </c>
      <c r="C48" s="10" t="s">
        <v>1481</v>
      </c>
      <c r="D48" s="16" t="s">
        <v>1482</v>
      </c>
      <c r="E48" s="10" t="s">
        <v>1483</v>
      </c>
      <c r="F48" s="10" t="s">
        <v>414</v>
      </c>
      <c r="G48" s="10" t="s">
        <v>1484</v>
      </c>
      <c r="H48" s="8"/>
      <c r="I48" s="8"/>
      <c r="J48" s="8"/>
    </row>
    <row r="49" customFormat="false" ht="55.5" hidden="false" customHeight="true" outlineLevel="0" collapsed="false">
      <c r="A49" s="11" t="s">
        <v>1485</v>
      </c>
      <c r="B49" s="10" t="s">
        <v>1418</v>
      </c>
      <c r="C49" s="10" t="s">
        <v>1486</v>
      </c>
      <c r="D49" s="16" t="s">
        <v>1487</v>
      </c>
      <c r="E49" s="10" t="s">
        <v>1488</v>
      </c>
      <c r="F49" s="10" t="s">
        <v>414</v>
      </c>
      <c r="G49" s="10" t="s">
        <v>1489</v>
      </c>
      <c r="H49" s="8"/>
      <c r="I49" s="8"/>
      <c r="J49" s="8"/>
    </row>
    <row r="50" customFormat="false" ht="81.75" hidden="false" customHeight="true" outlineLevel="0" collapsed="false">
      <c r="A50" s="11" t="s">
        <v>1490</v>
      </c>
      <c r="B50" s="10" t="s">
        <v>1491</v>
      </c>
      <c r="C50" s="10" t="s">
        <v>1492</v>
      </c>
      <c r="D50" s="16" t="s">
        <v>1493</v>
      </c>
      <c r="E50" s="10" t="s">
        <v>1494</v>
      </c>
      <c r="F50" s="10" t="s">
        <v>414</v>
      </c>
      <c r="G50" s="10" t="s">
        <v>1495</v>
      </c>
      <c r="H50" s="8"/>
      <c r="I50" s="8"/>
      <c r="J50" s="8"/>
    </row>
    <row r="51" customFormat="false" ht="55.5" hidden="false" customHeight="true" outlineLevel="0" collapsed="false">
      <c r="A51" s="11" t="s">
        <v>1496</v>
      </c>
      <c r="B51" s="10" t="s">
        <v>1491</v>
      </c>
      <c r="C51" s="10" t="s">
        <v>1497</v>
      </c>
      <c r="D51" s="16" t="s">
        <v>1498</v>
      </c>
      <c r="E51" s="10" t="s">
        <v>1499</v>
      </c>
      <c r="F51" s="10" t="s">
        <v>414</v>
      </c>
      <c r="G51" s="10" t="s">
        <v>1500</v>
      </c>
      <c r="H51" s="8"/>
      <c r="I51" s="8"/>
      <c r="J51" s="8"/>
    </row>
    <row r="52" customFormat="false" ht="81.75" hidden="false" customHeight="true" outlineLevel="0" collapsed="false">
      <c r="A52" s="11" t="s">
        <v>1501</v>
      </c>
      <c r="B52" s="10" t="s">
        <v>1491</v>
      </c>
      <c r="C52" s="10" t="s">
        <v>1502</v>
      </c>
      <c r="D52" s="16" t="s">
        <v>1503</v>
      </c>
      <c r="E52" s="10" t="s">
        <v>1504</v>
      </c>
      <c r="F52" s="10" t="s">
        <v>414</v>
      </c>
      <c r="G52" s="10" t="s">
        <v>1505</v>
      </c>
      <c r="H52" s="8"/>
      <c r="I52" s="8"/>
      <c r="J52" s="8"/>
    </row>
    <row r="53" customFormat="false" ht="42.75" hidden="false" customHeight="true" outlineLevel="0" collapsed="false">
      <c r="A53" s="11" t="s">
        <v>1506</v>
      </c>
      <c r="B53" s="10" t="s">
        <v>1491</v>
      </c>
      <c r="C53" s="10" t="s">
        <v>1507</v>
      </c>
      <c r="D53" s="16" t="s">
        <v>1508</v>
      </c>
      <c r="E53" s="10" t="s">
        <v>1509</v>
      </c>
      <c r="F53" s="10" t="s">
        <v>414</v>
      </c>
      <c r="G53" s="10" t="s">
        <v>1510</v>
      </c>
      <c r="H53" s="8"/>
      <c r="I53" s="8"/>
      <c r="J53" s="8"/>
    </row>
    <row r="54" customFormat="false" ht="42.75" hidden="false" customHeight="true" outlineLevel="0" collapsed="false">
      <c r="A54" s="11" t="s">
        <v>1511</v>
      </c>
      <c r="B54" s="10" t="s">
        <v>1491</v>
      </c>
      <c r="C54" s="10" t="s">
        <v>1512</v>
      </c>
      <c r="D54" s="16" t="s">
        <v>1513</v>
      </c>
      <c r="E54" s="10" t="s">
        <v>1514</v>
      </c>
      <c r="F54" s="10" t="s">
        <v>414</v>
      </c>
      <c r="G54" s="10" t="s">
        <v>1515</v>
      </c>
      <c r="H54" s="8"/>
      <c r="I54" s="8"/>
      <c r="J54" s="8"/>
    </row>
    <row r="55" customFormat="false" ht="42.75" hidden="false" customHeight="true" outlineLevel="0" collapsed="false">
      <c r="A55" s="11" t="s">
        <v>1516</v>
      </c>
      <c r="B55" s="10" t="s">
        <v>1517</v>
      </c>
      <c r="C55" s="10" t="s">
        <v>1518</v>
      </c>
      <c r="D55" s="16" t="s">
        <v>1519</v>
      </c>
      <c r="E55" s="10" t="s">
        <v>1520</v>
      </c>
      <c r="F55" s="10" t="s">
        <v>414</v>
      </c>
      <c r="G55" s="10" t="s">
        <v>1521</v>
      </c>
      <c r="H55" s="8"/>
      <c r="I55" s="8"/>
      <c r="J55" s="8"/>
    </row>
    <row r="56" customFormat="false" ht="55.5" hidden="false" customHeight="true" outlineLevel="0" collapsed="false">
      <c r="A56" s="11" t="s">
        <v>1522</v>
      </c>
      <c r="B56" s="10" t="s">
        <v>1523</v>
      </c>
      <c r="C56" s="10" t="s">
        <v>1524</v>
      </c>
      <c r="D56" s="16" t="s">
        <v>1525</v>
      </c>
      <c r="E56" s="10" t="s">
        <v>1526</v>
      </c>
      <c r="F56" s="10" t="s">
        <v>414</v>
      </c>
      <c r="G56" s="10" t="s">
        <v>1527</v>
      </c>
      <c r="H56" s="8"/>
      <c r="I56" s="8"/>
      <c r="J56" s="8"/>
    </row>
    <row r="57" customFormat="false" ht="42.75" hidden="false" customHeight="true" outlineLevel="0" collapsed="false">
      <c r="A57" s="11" t="s">
        <v>1528</v>
      </c>
      <c r="B57" s="10" t="s">
        <v>1523</v>
      </c>
      <c r="C57" s="10" t="s">
        <v>1529</v>
      </c>
      <c r="D57" s="16" t="s">
        <v>1530</v>
      </c>
      <c r="E57" s="10" t="s">
        <v>1531</v>
      </c>
      <c r="F57" s="10" t="s">
        <v>414</v>
      </c>
      <c r="G57" s="10" t="s">
        <v>1532</v>
      </c>
      <c r="H57" s="8"/>
      <c r="I57" s="8"/>
      <c r="J57" s="8"/>
    </row>
    <row r="58" customFormat="false" ht="55.5" hidden="false" customHeight="true" outlineLevel="0" collapsed="false">
      <c r="A58" s="11" t="s">
        <v>1533</v>
      </c>
      <c r="B58" s="10" t="s">
        <v>1523</v>
      </c>
      <c r="C58" s="10" t="s">
        <v>1534</v>
      </c>
      <c r="D58" s="16" t="s">
        <v>1535</v>
      </c>
      <c r="E58" s="10" t="s">
        <v>1536</v>
      </c>
      <c r="F58" s="10" t="s">
        <v>414</v>
      </c>
      <c r="G58" s="10" t="s">
        <v>1537</v>
      </c>
      <c r="H58" s="8"/>
      <c r="I58" s="8"/>
      <c r="J58" s="8"/>
    </row>
    <row r="59" customFormat="false" ht="69" hidden="false" customHeight="true" outlineLevel="0" collapsed="false">
      <c r="A59" s="11" t="s">
        <v>1538</v>
      </c>
      <c r="B59" s="10" t="s">
        <v>1539</v>
      </c>
      <c r="C59" s="10" t="s">
        <v>1540</v>
      </c>
      <c r="D59" s="16" t="s">
        <v>1541</v>
      </c>
      <c r="E59" s="10" t="s">
        <v>1542</v>
      </c>
      <c r="F59" s="10" t="s">
        <v>414</v>
      </c>
      <c r="G59" s="10" t="s">
        <v>1543</v>
      </c>
      <c r="H59" s="8"/>
      <c r="I59" s="8"/>
      <c r="J59" s="8"/>
    </row>
    <row r="60" customFormat="false" ht="42.75" hidden="false" customHeight="true" outlineLevel="0" collapsed="false">
      <c r="A60" s="11" t="s">
        <v>1544</v>
      </c>
      <c r="B60" s="10" t="s">
        <v>1539</v>
      </c>
      <c r="C60" s="10" t="s">
        <v>1545</v>
      </c>
      <c r="D60" s="16" t="s">
        <v>1546</v>
      </c>
      <c r="E60" s="10" t="s">
        <v>1547</v>
      </c>
      <c r="F60" s="10" t="s">
        <v>414</v>
      </c>
      <c r="G60" s="10" t="s">
        <v>1548</v>
      </c>
      <c r="H60" s="8"/>
      <c r="I60" s="8"/>
      <c r="J60" s="8"/>
    </row>
    <row r="61" customFormat="false" ht="42.75" hidden="false" customHeight="true" outlineLevel="0" collapsed="false">
      <c r="A61" s="11" t="s">
        <v>1549</v>
      </c>
      <c r="B61" s="10" t="s">
        <v>1539</v>
      </c>
      <c r="C61" s="10" t="s">
        <v>1550</v>
      </c>
      <c r="D61" s="16" t="s">
        <v>1551</v>
      </c>
      <c r="E61" s="10" t="s">
        <v>1552</v>
      </c>
      <c r="F61" s="10" t="s">
        <v>414</v>
      </c>
      <c r="G61" s="10" t="s">
        <v>1553</v>
      </c>
      <c r="H61" s="8"/>
      <c r="I61" s="8"/>
      <c r="J61" s="8"/>
    </row>
    <row r="62" customFormat="false" ht="42.75" hidden="false" customHeight="true" outlineLevel="0" collapsed="false">
      <c r="A62" s="11" t="s">
        <v>1554</v>
      </c>
      <c r="B62" s="10" t="s">
        <v>1555</v>
      </c>
      <c r="C62" s="10" t="s">
        <v>1556</v>
      </c>
      <c r="D62" s="16" t="s">
        <v>1557</v>
      </c>
      <c r="E62" s="10" t="s">
        <v>1558</v>
      </c>
      <c r="F62" s="10" t="s">
        <v>414</v>
      </c>
      <c r="G62" s="10" t="s">
        <v>1559</v>
      </c>
      <c r="H62" s="8"/>
      <c r="I62" s="8"/>
      <c r="J62" s="8"/>
    </row>
    <row r="63" customFormat="false" ht="42.75" hidden="false" customHeight="true" outlineLevel="0" collapsed="false">
      <c r="A63" s="11" t="s">
        <v>1560</v>
      </c>
      <c r="B63" s="10" t="s">
        <v>1555</v>
      </c>
      <c r="C63" s="10" t="s">
        <v>1561</v>
      </c>
      <c r="D63" s="16" t="s">
        <v>1562</v>
      </c>
      <c r="E63" s="10" t="s">
        <v>1563</v>
      </c>
      <c r="F63" s="10" t="s">
        <v>414</v>
      </c>
      <c r="G63" s="10" t="s">
        <v>1564</v>
      </c>
      <c r="H63" s="8"/>
      <c r="I63" s="8"/>
      <c r="J63" s="8"/>
    </row>
    <row r="64" customFormat="false" ht="42.75" hidden="false" customHeight="true" outlineLevel="0" collapsed="false">
      <c r="A64" s="11" t="s">
        <v>1565</v>
      </c>
      <c r="B64" s="10" t="s">
        <v>1566</v>
      </c>
      <c r="C64" s="10" t="s">
        <v>1567</v>
      </c>
      <c r="D64" s="16" t="s">
        <v>1568</v>
      </c>
      <c r="E64" s="10" t="s">
        <v>1569</v>
      </c>
      <c r="F64" s="10" t="s">
        <v>483</v>
      </c>
      <c r="G64" s="10" t="s">
        <v>1570</v>
      </c>
      <c r="H64" s="8"/>
      <c r="I64" s="8"/>
      <c r="J64" s="8"/>
    </row>
    <row r="65" customFormat="false" ht="81.75" hidden="false" customHeight="true" outlineLevel="0" collapsed="false">
      <c r="A65" s="11" t="s">
        <v>1571</v>
      </c>
      <c r="B65" s="10" t="s">
        <v>1572</v>
      </c>
      <c r="C65" s="10" t="s">
        <v>1573</v>
      </c>
      <c r="D65" s="16" t="s">
        <v>1574</v>
      </c>
      <c r="E65" s="10" t="s">
        <v>1575</v>
      </c>
      <c r="F65" s="10" t="s">
        <v>483</v>
      </c>
      <c r="G65" s="10" t="s">
        <v>1576</v>
      </c>
      <c r="H65" s="8"/>
      <c r="I65" s="8"/>
      <c r="J65" s="8"/>
    </row>
    <row r="66" customFormat="false" ht="55.5" hidden="false" customHeight="true" outlineLevel="0" collapsed="false">
      <c r="A66" s="11" t="s">
        <v>1577</v>
      </c>
      <c r="B66" s="10" t="s">
        <v>1578</v>
      </c>
      <c r="C66" s="10" t="s">
        <v>1579</v>
      </c>
      <c r="D66" s="16" t="s">
        <v>1580</v>
      </c>
      <c r="E66" s="10" t="s">
        <v>1581</v>
      </c>
      <c r="F66" s="10" t="s">
        <v>483</v>
      </c>
      <c r="G66" s="10" t="s">
        <v>1582</v>
      </c>
      <c r="H66" s="8"/>
      <c r="I66" s="8"/>
      <c r="J66" s="8"/>
    </row>
    <row r="67" customFormat="false" ht="42.75" hidden="false" customHeight="true" outlineLevel="0" collapsed="false">
      <c r="A67" s="11" t="s">
        <v>1583</v>
      </c>
      <c r="B67" s="10" t="s">
        <v>1584</v>
      </c>
      <c r="C67" s="10" t="s">
        <v>1585</v>
      </c>
      <c r="D67" s="16" t="s">
        <v>1586</v>
      </c>
      <c r="E67" s="10" t="s">
        <v>1587</v>
      </c>
      <c r="F67" s="10" t="s">
        <v>483</v>
      </c>
      <c r="G67" s="10" t="s">
        <v>1588</v>
      </c>
      <c r="H67" s="8"/>
      <c r="I67" s="8"/>
      <c r="J67" s="8"/>
    </row>
    <row r="68" customFormat="false" ht="42.75" hidden="false" customHeight="true" outlineLevel="0" collapsed="false">
      <c r="A68" s="11" t="s">
        <v>1589</v>
      </c>
      <c r="B68" s="10" t="s">
        <v>1590</v>
      </c>
      <c r="C68" s="10" t="s">
        <v>1591</v>
      </c>
      <c r="D68" s="16" t="s">
        <v>1592</v>
      </c>
      <c r="E68" s="10" t="s">
        <v>1593</v>
      </c>
      <c r="F68" s="10" t="s">
        <v>483</v>
      </c>
      <c r="G68" s="10" t="s">
        <v>1594</v>
      </c>
      <c r="H68" s="8"/>
      <c r="I68" s="8"/>
      <c r="J68" s="8"/>
    </row>
    <row r="69" customFormat="false" ht="55.5" hidden="false" customHeight="true" outlineLevel="0" collapsed="false">
      <c r="A69" s="11" t="s">
        <v>1595</v>
      </c>
      <c r="B69" s="10" t="s">
        <v>1596</v>
      </c>
      <c r="C69" s="10" t="s">
        <v>1597</v>
      </c>
      <c r="D69" s="16" t="s">
        <v>1598</v>
      </c>
      <c r="E69" s="10" t="s">
        <v>1575</v>
      </c>
      <c r="F69" s="10" t="s">
        <v>483</v>
      </c>
      <c r="G69" s="10" t="s">
        <v>1599</v>
      </c>
      <c r="H69" s="8"/>
      <c r="I69" s="8"/>
      <c r="J69" s="8"/>
    </row>
    <row r="70" customFormat="false" ht="69" hidden="false" customHeight="true" outlineLevel="0" collapsed="false">
      <c r="A70" s="11" t="s">
        <v>1600</v>
      </c>
      <c r="B70" s="10" t="s">
        <v>1601</v>
      </c>
      <c r="C70" s="10" t="s">
        <v>1602</v>
      </c>
      <c r="D70" s="16" t="s">
        <v>1603</v>
      </c>
      <c r="E70" s="10" t="s">
        <v>1604</v>
      </c>
      <c r="F70" s="10" t="s">
        <v>483</v>
      </c>
      <c r="G70" s="10" t="s">
        <v>1605</v>
      </c>
      <c r="H70" s="8"/>
      <c r="I70" s="8"/>
      <c r="J70" s="8"/>
    </row>
    <row r="71" customFormat="false" ht="69" hidden="false" customHeight="true" outlineLevel="0" collapsed="false">
      <c r="A71" s="11" t="s">
        <v>1606</v>
      </c>
      <c r="B71" s="10" t="s">
        <v>1607</v>
      </c>
      <c r="C71" s="10" t="s">
        <v>1608</v>
      </c>
      <c r="D71" s="16" t="s">
        <v>1609</v>
      </c>
      <c r="E71" s="10" t="s">
        <v>1610</v>
      </c>
      <c r="F71" s="10" t="s">
        <v>483</v>
      </c>
      <c r="G71" s="10" t="s">
        <v>1611</v>
      </c>
      <c r="H71" s="8"/>
      <c r="I71" s="8"/>
      <c r="J71" s="8"/>
    </row>
    <row r="72" customFormat="false" ht="69" hidden="false" customHeight="true" outlineLevel="0" collapsed="false">
      <c r="A72" s="11" t="s">
        <v>1612</v>
      </c>
      <c r="B72" s="10" t="s">
        <v>1613</v>
      </c>
      <c r="C72" s="10" t="s">
        <v>1614</v>
      </c>
      <c r="D72" s="16" t="s">
        <v>1615</v>
      </c>
      <c r="E72" s="10" t="s">
        <v>1616</v>
      </c>
      <c r="F72" s="10" t="s">
        <v>483</v>
      </c>
      <c r="G72" s="10" t="s">
        <v>1617</v>
      </c>
      <c r="H72" s="8"/>
      <c r="I72" s="8"/>
      <c r="J72" s="8"/>
    </row>
    <row r="73" customFormat="false" ht="69" hidden="false" customHeight="true" outlineLevel="0" collapsed="false">
      <c r="A73" s="11" t="s">
        <v>1618</v>
      </c>
      <c r="B73" s="10" t="s">
        <v>1619</v>
      </c>
      <c r="C73" s="10" t="s">
        <v>1620</v>
      </c>
      <c r="D73" s="16" t="s">
        <v>1621</v>
      </c>
      <c r="E73" s="10" t="s">
        <v>1622</v>
      </c>
      <c r="F73" s="10" t="s">
        <v>483</v>
      </c>
      <c r="G73" s="10" t="s">
        <v>1623</v>
      </c>
      <c r="H73" s="8"/>
      <c r="I73" s="8"/>
      <c r="J73" s="8"/>
    </row>
    <row r="74" customFormat="false" ht="69" hidden="false" customHeight="true" outlineLevel="0" collapsed="false">
      <c r="A74" s="11" t="s">
        <v>1624</v>
      </c>
      <c r="B74" s="10" t="s">
        <v>1448</v>
      </c>
      <c r="C74" s="10" t="s">
        <v>1625</v>
      </c>
      <c r="D74" s="16" t="s">
        <v>1626</v>
      </c>
      <c r="E74" s="10" t="s">
        <v>1627</v>
      </c>
      <c r="F74" s="10" t="s">
        <v>483</v>
      </c>
      <c r="G74" s="10" t="s">
        <v>1628</v>
      </c>
      <c r="H74" s="8"/>
      <c r="I74" s="8"/>
      <c r="J74" s="8"/>
    </row>
    <row r="75" customFormat="false" ht="69" hidden="false" customHeight="true" outlineLevel="0" collapsed="false">
      <c r="A75" s="11" t="s">
        <v>1629</v>
      </c>
      <c r="B75" s="10" t="s">
        <v>1448</v>
      </c>
      <c r="C75" s="10" t="s">
        <v>1630</v>
      </c>
      <c r="D75" s="16" t="s">
        <v>1631</v>
      </c>
      <c r="E75" s="10" t="s">
        <v>1632</v>
      </c>
      <c r="F75" s="10" t="s">
        <v>483</v>
      </c>
      <c r="G75" s="10" t="s">
        <v>1633</v>
      </c>
      <c r="H75" s="8"/>
      <c r="I75" s="8"/>
      <c r="J75" s="8"/>
    </row>
    <row r="76" customFormat="false" ht="42.75" hidden="false" customHeight="true" outlineLevel="0" collapsed="false">
      <c r="A76" s="11" t="s">
        <v>1634</v>
      </c>
      <c r="B76" s="10" t="s">
        <v>1448</v>
      </c>
      <c r="C76" s="10" t="s">
        <v>1635</v>
      </c>
      <c r="D76" s="16" t="s">
        <v>1636</v>
      </c>
      <c r="E76" s="10" t="s">
        <v>1637</v>
      </c>
      <c r="F76" s="10" t="s">
        <v>483</v>
      </c>
      <c r="G76" s="10" t="s">
        <v>1638</v>
      </c>
      <c r="H76" s="8"/>
      <c r="I76" s="8"/>
      <c r="J76" s="8"/>
    </row>
    <row r="77" customFormat="false" ht="55.5" hidden="false" customHeight="true" outlineLevel="0" collapsed="false">
      <c r="A77" s="11" t="s">
        <v>1639</v>
      </c>
      <c r="B77" s="10" t="s">
        <v>1400</v>
      </c>
      <c r="C77" s="10" t="s">
        <v>1640</v>
      </c>
      <c r="D77" s="16" t="s">
        <v>1641</v>
      </c>
      <c r="E77" s="10" t="s">
        <v>1642</v>
      </c>
      <c r="F77" s="10" t="s">
        <v>483</v>
      </c>
      <c r="G77" s="10" t="s">
        <v>1643</v>
      </c>
      <c r="H77" s="8"/>
      <c r="I77" s="8"/>
      <c r="J77" s="8"/>
    </row>
    <row r="78" customFormat="false" ht="69" hidden="false" customHeight="true" outlineLevel="0" collapsed="false">
      <c r="A78" s="11" t="s">
        <v>1644</v>
      </c>
      <c r="B78" s="10" t="s">
        <v>1418</v>
      </c>
      <c r="C78" s="10" t="s">
        <v>1645</v>
      </c>
      <c r="D78" s="16" t="s">
        <v>1646</v>
      </c>
      <c r="E78" s="10" t="s">
        <v>1647</v>
      </c>
      <c r="F78" s="10" t="s">
        <v>483</v>
      </c>
      <c r="G78" s="10" t="s">
        <v>1489</v>
      </c>
      <c r="H78" s="8"/>
      <c r="I78" s="8"/>
      <c r="J78" s="8"/>
    </row>
    <row r="79" customFormat="false" ht="42.75" hidden="false" customHeight="true" outlineLevel="0" collapsed="false">
      <c r="A79" s="11" t="s">
        <v>1648</v>
      </c>
      <c r="B79" s="10" t="s">
        <v>1418</v>
      </c>
      <c r="C79" s="10" t="s">
        <v>1649</v>
      </c>
      <c r="D79" s="16" t="s">
        <v>1650</v>
      </c>
      <c r="E79" s="10" t="s">
        <v>1651</v>
      </c>
      <c r="F79" s="10" t="s">
        <v>483</v>
      </c>
      <c r="G79" s="10" t="s">
        <v>1652</v>
      </c>
      <c r="H79" s="8"/>
      <c r="I79" s="8"/>
      <c r="J79" s="8"/>
    </row>
    <row r="80" customFormat="false" ht="42.75" hidden="false" customHeight="true" outlineLevel="0" collapsed="false">
      <c r="A80" s="11" t="s">
        <v>1653</v>
      </c>
      <c r="B80" s="10" t="s">
        <v>1491</v>
      </c>
      <c r="C80" s="10" t="s">
        <v>1654</v>
      </c>
      <c r="D80" s="16" t="s">
        <v>1655</v>
      </c>
      <c r="E80" s="10" t="s">
        <v>1656</v>
      </c>
      <c r="F80" s="10" t="s">
        <v>483</v>
      </c>
      <c r="G80" s="10" t="s">
        <v>1505</v>
      </c>
      <c r="H80" s="8"/>
      <c r="I80" s="8"/>
      <c r="J80" s="8"/>
    </row>
    <row r="81" customFormat="false" ht="55.5" hidden="false" customHeight="true" outlineLevel="0" collapsed="false">
      <c r="A81" s="11" t="s">
        <v>1657</v>
      </c>
      <c r="B81" s="10" t="s">
        <v>1658</v>
      </c>
      <c r="C81" s="10" t="s">
        <v>1659</v>
      </c>
      <c r="D81" s="16" t="s">
        <v>1660</v>
      </c>
      <c r="E81" s="10" t="s">
        <v>1661</v>
      </c>
      <c r="F81" s="10" t="s">
        <v>483</v>
      </c>
      <c r="G81" s="10" t="s">
        <v>1662</v>
      </c>
      <c r="H81" s="8"/>
      <c r="I81" s="8"/>
      <c r="J81" s="8"/>
    </row>
    <row r="82" customFormat="false" ht="42.75" hidden="false" customHeight="true" outlineLevel="0" collapsed="false">
      <c r="A82" s="11" t="s">
        <v>1663</v>
      </c>
      <c r="B82" s="10" t="s">
        <v>1658</v>
      </c>
      <c r="C82" s="10" t="s">
        <v>1664</v>
      </c>
      <c r="D82" s="16" t="s">
        <v>1665</v>
      </c>
      <c r="E82" s="10" t="s">
        <v>1666</v>
      </c>
      <c r="F82" s="10" t="s">
        <v>483</v>
      </c>
      <c r="G82" s="10" t="s">
        <v>1667</v>
      </c>
      <c r="H82" s="8"/>
      <c r="I82" s="8"/>
      <c r="J82" s="8"/>
    </row>
    <row r="83" customFormat="false" ht="55.5" hidden="false" customHeight="true" outlineLevel="0" collapsed="false">
      <c r="A83" s="11" t="s">
        <v>1668</v>
      </c>
      <c r="B83" s="10" t="s">
        <v>1523</v>
      </c>
      <c r="C83" s="10" t="s">
        <v>1669</v>
      </c>
      <c r="D83" s="16" t="s">
        <v>1670</v>
      </c>
      <c r="E83" s="10" t="s">
        <v>1671</v>
      </c>
      <c r="F83" s="10" t="s">
        <v>483</v>
      </c>
      <c r="G83" s="10" t="s">
        <v>1672</v>
      </c>
      <c r="H83" s="8"/>
      <c r="I83" s="8"/>
      <c r="J83" s="8"/>
    </row>
    <row r="84" customFormat="false" ht="42.75" hidden="false" customHeight="true" outlineLevel="0" collapsed="false">
      <c r="A84" s="11" t="s">
        <v>1673</v>
      </c>
      <c r="B84" s="10" t="s">
        <v>1555</v>
      </c>
      <c r="C84" s="10" t="s">
        <v>1674</v>
      </c>
      <c r="D84" s="16" t="s">
        <v>1675</v>
      </c>
      <c r="E84" s="10" t="s">
        <v>1676</v>
      </c>
      <c r="F84" s="10" t="s">
        <v>483</v>
      </c>
      <c r="G84" s="10" t="s">
        <v>1677</v>
      </c>
      <c r="H84" s="8"/>
      <c r="I84" s="8"/>
      <c r="J84" s="8"/>
    </row>
  </sheetData>
  <autoFilter ref="A4:J84"/>
  <conditionalFormatting sqref="H5:H84">
    <cfRule type="cellIs" priority="2" operator="equal" aboveAverage="0" equalAverage="0" bottom="0" percent="0" rank="0" text="" dxfId="1">
      <formula>"Approve"</formula>
    </cfRule>
    <cfRule type="cellIs" priority="3" operator="equal" aboveAverage="0" equalAverage="0" bottom="0" percent="0" rank="0" text="" dxfId="1">
      <formula>"Done"</formula>
    </cfRule>
    <cfRule type="cellIs" priority="4" operator="equal" aboveAverage="0" equalAverage="0" bottom="0" percent="0" rank="0" text="" dxfId="0">
      <formula>"Approve with changes"</formula>
    </cfRule>
    <cfRule type="cellIs" priority="5" operator="equal" aboveAverage="0" equalAverage="0" bottom="0" percent="0" rank="0" text="" dxfId="0">
      <formula>"Defer"</formula>
    </cfRule>
    <cfRule type="cellIs" priority="6" operator="equal" aboveAverage="0" equalAverage="0" bottom="0" percent="0" rank="0" text="" dxfId="0">
      <formula>"Need more info"</formula>
    </cfRule>
    <cfRule type="cellIs" priority="7" operator="equal" aboveAverage="0" equalAverage="0" bottom="0" percent="0" rank="0" text="" dxfId="7">
      <formula>"Reject"</formula>
    </cfRule>
  </conditionalFormatting>
  <dataValidations count="1">
    <dataValidation allowBlank="true" error="Pick a value from the list." errorStyle="stop" errorTitle="Invalid entry" operator="between" prompt="Pick one: Approve / Approve with changes / Reject / Defer / Need more info / Done" promptTitle="Your response" showDropDown="false" showErrorMessage="true" showInputMessage="false" sqref="H5:H84" type="list">
      <formula1>"Approve,Approve with changes,Reject,Defer,Need more info,Done"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50"/>
    <col collapsed="false" customWidth="true" hidden="false" outlineLevel="0" max="3" min="3" style="0" width="46"/>
    <col collapsed="false" customWidth="true" hidden="false" outlineLevel="0" max="4" min="4" style="0" width="18"/>
    <col collapsed="false" customWidth="true" hidden="false" outlineLevel="0" max="5" min="5" style="0" width="30"/>
    <col collapsed="false" customWidth="true" hidden="false" outlineLevel="0" max="6" min="6" style="0" width="18"/>
    <col collapsed="false" customWidth="true" hidden="false" outlineLevel="0" max="7" min="7" style="0" width="30"/>
    <col collapsed="false" customWidth="true" hidden="false" outlineLevel="0" max="8" min="8" style="0" width="36"/>
  </cols>
  <sheetData>
    <row r="1" customFormat="false" ht="17.35" hidden="false" customHeight="false" outlineLevel="0" collapsed="false">
      <c r="A1" s="1" t="s">
        <v>1678</v>
      </c>
    </row>
    <row r="2" customFormat="false" ht="15" hidden="false" customHeight="false" outlineLevel="0" collapsed="false">
      <c r="A2" s="15" t="s">
        <v>1679</v>
      </c>
    </row>
    <row r="4" customFormat="false" ht="15" hidden="false" customHeight="false" outlineLevel="0" collapsed="false">
      <c r="A4" s="9" t="s">
        <v>10</v>
      </c>
      <c r="B4" s="9" t="s">
        <v>1680</v>
      </c>
      <c r="C4" s="9" t="s">
        <v>1681</v>
      </c>
      <c r="D4" s="9" t="s">
        <v>1682</v>
      </c>
      <c r="E4" s="9" t="s">
        <v>53</v>
      </c>
      <c r="F4" s="9" t="s">
        <v>16</v>
      </c>
      <c r="G4" s="9" t="s">
        <v>18</v>
      </c>
      <c r="H4" s="9" t="s">
        <v>20</v>
      </c>
    </row>
    <row r="5" customFormat="false" ht="69" hidden="false" customHeight="true" outlineLevel="0" collapsed="false">
      <c r="A5" s="11" t="s">
        <v>317</v>
      </c>
      <c r="B5" s="10" t="s">
        <v>1683</v>
      </c>
      <c r="C5" s="10" t="s">
        <v>1684</v>
      </c>
      <c r="D5" s="10" t="s">
        <v>1685</v>
      </c>
      <c r="E5" s="10" t="s">
        <v>1686</v>
      </c>
      <c r="F5" s="8"/>
      <c r="G5" s="8"/>
      <c r="H5" s="8"/>
    </row>
    <row r="6" customFormat="false" ht="120.75" hidden="false" customHeight="true" outlineLevel="0" collapsed="false">
      <c r="A6" s="11" t="s">
        <v>61</v>
      </c>
      <c r="B6" s="10" t="s">
        <v>1687</v>
      </c>
      <c r="C6" s="10" t="s">
        <v>1688</v>
      </c>
      <c r="D6" s="10" t="s">
        <v>1689</v>
      </c>
      <c r="E6" s="10" t="s">
        <v>1690</v>
      </c>
      <c r="F6" s="8"/>
      <c r="G6" s="8"/>
      <c r="H6" s="8"/>
    </row>
    <row r="7" customFormat="false" ht="120.75" hidden="false" customHeight="true" outlineLevel="0" collapsed="false">
      <c r="A7" s="11" t="s">
        <v>1691</v>
      </c>
      <c r="B7" s="10" t="s">
        <v>1692</v>
      </c>
      <c r="C7" s="10" t="s">
        <v>1693</v>
      </c>
      <c r="D7" s="10" t="s">
        <v>1694</v>
      </c>
      <c r="E7" s="10" t="s">
        <v>1695</v>
      </c>
      <c r="F7" s="8"/>
      <c r="G7" s="8"/>
      <c r="H7" s="8"/>
    </row>
    <row r="8" customFormat="false" ht="81.75" hidden="false" customHeight="true" outlineLevel="0" collapsed="false">
      <c r="A8" s="11" t="s">
        <v>1696</v>
      </c>
      <c r="B8" s="10" t="s">
        <v>1697</v>
      </c>
      <c r="C8" s="10" t="s">
        <v>1698</v>
      </c>
      <c r="D8" s="10" t="s">
        <v>1699</v>
      </c>
      <c r="E8" s="10" t="s">
        <v>1700</v>
      </c>
      <c r="F8" s="8"/>
      <c r="G8" s="8"/>
      <c r="H8" s="8"/>
    </row>
    <row r="9" customFormat="false" ht="94.5" hidden="false" customHeight="true" outlineLevel="0" collapsed="false">
      <c r="A9" s="11" t="s">
        <v>1701</v>
      </c>
      <c r="B9" s="10" t="s">
        <v>1702</v>
      </c>
      <c r="C9" s="10" t="s">
        <v>1703</v>
      </c>
      <c r="D9" s="10" t="s">
        <v>1704</v>
      </c>
      <c r="E9" s="10" t="s">
        <v>1705</v>
      </c>
      <c r="F9" s="8"/>
      <c r="G9" s="8"/>
      <c r="H9" s="8"/>
    </row>
    <row r="10" customFormat="false" ht="81.75" hidden="false" customHeight="true" outlineLevel="0" collapsed="false">
      <c r="A10" s="11" t="s">
        <v>1706</v>
      </c>
      <c r="B10" s="10" t="s">
        <v>1707</v>
      </c>
      <c r="C10" s="10" t="s">
        <v>1708</v>
      </c>
      <c r="D10" s="10" t="s">
        <v>1709</v>
      </c>
      <c r="E10" s="10" t="s">
        <v>1710</v>
      </c>
      <c r="F10" s="8"/>
      <c r="G10" s="8"/>
      <c r="H10" s="8"/>
    </row>
    <row r="11" customFormat="false" ht="81.75" hidden="false" customHeight="true" outlineLevel="0" collapsed="false">
      <c r="A11" s="11" t="s">
        <v>1711</v>
      </c>
      <c r="B11" s="10" t="s">
        <v>1712</v>
      </c>
      <c r="C11" s="10" t="s">
        <v>1713</v>
      </c>
      <c r="D11" s="10" t="s">
        <v>1714</v>
      </c>
      <c r="E11" s="10" t="s">
        <v>1715</v>
      </c>
      <c r="F11" s="8"/>
      <c r="G11" s="8"/>
      <c r="H11" s="8"/>
    </row>
    <row r="12" customFormat="false" ht="81.75" hidden="false" customHeight="true" outlineLevel="0" collapsed="false">
      <c r="A12" s="11" t="s">
        <v>1716</v>
      </c>
      <c r="B12" s="10" t="s">
        <v>1717</v>
      </c>
      <c r="C12" s="10" t="s">
        <v>1718</v>
      </c>
      <c r="D12" s="10" t="s">
        <v>1719</v>
      </c>
      <c r="E12" s="10" t="s">
        <v>1720</v>
      </c>
      <c r="F12" s="8"/>
      <c r="G12" s="8"/>
      <c r="H12" s="8"/>
    </row>
    <row r="13" customFormat="false" ht="42.75" hidden="false" customHeight="true" outlineLevel="0" collapsed="false">
      <c r="A13" s="11" t="s">
        <v>1721</v>
      </c>
      <c r="B13" s="10" t="s">
        <v>1722</v>
      </c>
      <c r="C13" s="10" t="s">
        <v>1723</v>
      </c>
      <c r="D13" s="10" t="s">
        <v>1714</v>
      </c>
      <c r="E13" s="10" t="s">
        <v>1724</v>
      </c>
      <c r="F13" s="8"/>
      <c r="G13" s="8"/>
      <c r="H13" s="8"/>
    </row>
    <row r="14" customFormat="false" ht="81.75" hidden="false" customHeight="true" outlineLevel="0" collapsed="false">
      <c r="A14" s="11" t="s">
        <v>1725</v>
      </c>
      <c r="B14" s="10" t="s">
        <v>1726</v>
      </c>
      <c r="C14" s="10" t="s">
        <v>1727</v>
      </c>
      <c r="D14" s="10" t="s">
        <v>1728</v>
      </c>
      <c r="E14" s="10" t="s">
        <v>1729</v>
      </c>
      <c r="F14" s="8"/>
      <c r="G14" s="8"/>
      <c r="H14" s="8"/>
    </row>
    <row r="15" customFormat="false" ht="42.75" hidden="false" customHeight="true" outlineLevel="0" collapsed="false">
      <c r="A15" s="11" t="s">
        <v>1730</v>
      </c>
      <c r="B15" s="10" t="s">
        <v>1731</v>
      </c>
      <c r="C15" s="10" t="s">
        <v>1732</v>
      </c>
      <c r="D15" s="10" t="s">
        <v>1733</v>
      </c>
      <c r="E15" s="10" t="s">
        <v>1734</v>
      </c>
      <c r="F15" s="8"/>
      <c r="G15" s="8"/>
      <c r="H15" s="8"/>
    </row>
    <row r="16" customFormat="false" ht="42.75" hidden="false" customHeight="true" outlineLevel="0" collapsed="false">
      <c r="A16" s="11" t="s">
        <v>1735</v>
      </c>
      <c r="B16" s="10" t="s">
        <v>1736</v>
      </c>
      <c r="C16" s="10" t="s">
        <v>1737</v>
      </c>
      <c r="D16" s="10" t="s">
        <v>1714</v>
      </c>
      <c r="E16" s="10" t="s">
        <v>1738</v>
      </c>
      <c r="F16" s="8"/>
      <c r="G16" s="8"/>
      <c r="H16" s="8"/>
    </row>
    <row r="17" customFormat="false" ht="42.75" hidden="false" customHeight="true" outlineLevel="0" collapsed="false">
      <c r="A17" s="11" t="s">
        <v>376</v>
      </c>
      <c r="B17" s="10" t="s">
        <v>1739</v>
      </c>
      <c r="C17" s="10" t="s">
        <v>1740</v>
      </c>
      <c r="D17" s="10" t="s">
        <v>1714</v>
      </c>
      <c r="E17" s="10" t="s">
        <v>1741</v>
      </c>
      <c r="F17" s="8"/>
      <c r="G17" s="8"/>
      <c r="H17" s="8"/>
    </row>
    <row r="18" customFormat="false" ht="30" hidden="false" customHeight="true" outlineLevel="0" collapsed="false">
      <c r="A18" s="11" t="s">
        <v>368</v>
      </c>
      <c r="B18" s="10" t="s">
        <v>1742</v>
      </c>
      <c r="C18" s="10" t="s">
        <v>1743</v>
      </c>
      <c r="D18" s="10" t="s">
        <v>1714</v>
      </c>
      <c r="E18" s="10" t="s">
        <v>1744</v>
      </c>
      <c r="F18" s="8"/>
      <c r="G18" s="8"/>
      <c r="H18" s="8"/>
    </row>
    <row r="19" customFormat="false" ht="94.5" hidden="false" customHeight="true" outlineLevel="0" collapsed="false">
      <c r="A19" s="11" t="s">
        <v>1745</v>
      </c>
      <c r="B19" s="10" t="s">
        <v>1746</v>
      </c>
      <c r="C19" s="10" t="s">
        <v>1747</v>
      </c>
      <c r="D19" s="10" t="s">
        <v>1748</v>
      </c>
      <c r="E19" s="10" t="s">
        <v>1749</v>
      </c>
      <c r="F19" s="8"/>
      <c r="G19" s="8"/>
      <c r="H19" s="8"/>
    </row>
    <row r="20" customFormat="false" ht="55.5" hidden="false" customHeight="true" outlineLevel="0" collapsed="false">
      <c r="A20" s="11" t="s">
        <v>1750</v>
      </c>
      <c r="B20" s="10" t="s">
        <v>1751</v>
      </c>
      <c r="C20" s="10" t="s">
        <v>1752</v>
      </c>
      <c r="D20" s="10" t="s">
        <v>1753</v>
      </c>
      <c r="E20" s="10" t="s">
        <v>1754</v>
      </c>
      <c r="F20" s="8"/>
      <c r="G20" s="8"/>
      <c r="H20" s="8"/>
    </row>
    <row r="21" customFormat="false" ht="69" hidden="false" customHeight="true" outlineLevel="0" collapsed="false">
      <c r="A21" s="11" t="s">
        <v>1755</v>
      </c>
      <c r="B21" s="10" t="s">
        <v>1756</v>
      </c>
      <c r="C21" s="10" t="s">
        <v>1757</v>
      </c>
      <c r="D21" s="10" t="s">
        <v>1758</v>
      </c>
      <c r="E21" s="10" t="s">
        <v>1759</v>
      </c>
      <c r="F21" s="8"/>
      <c r="G21" s="8"/>
      <c r="H21" s="8"/>
    </row>
    <row r="22" customFormat="false" ht="69" hidden="false" customHeight="true" outlineLevel="0" collapsed="false">
      <c r="A22" s="11" t="s">
        <v>1760</v>
      </c>
      <c r="B22" s="10" t="s">
        <v>1761</v>
      </c>
      <c r="C22" s="10" t="s">
        <v>1762</v>
      </c>
      <c r="D22" s="10" t="s">
        <v>1763</v>
      </c>
      <c r="E22" s="10" t="s">
        <v>1764</v>
      </c>
      <c r="F22" s="8"/>
      <c r="G22" s="8"/>
      <c r="H22" s="8"/>
    </row>
    <row r="23" customFormat="false" ht="42.75" hidden="false" customHeight="true" outlineLevel="0" collapsed="false">
      <c r="A23" s="11" t="s">
        <v>1765</v>
      </c>
      <c r="B23" s="10" t="s">
        <v>1766</v>
      </c>
      <c r="C23" s="10" t="s">
        <v>1767</v>
      </c>
      <c r="D23" s="10" t="s">
        <v>414</v>
      </c>
      <c r="E23" s="10" t="s">
        <v>1768</v>
      </c>
      <c r="F23" s="8"/>
      <c r="G23" s="8"/>
      <c r="H23" s="8"/>
    </row>
    <row r="24" customFormat="false" ht="42.75" hidden="false" customHeight="true" outlineLevel="0" collapsed="false">
      <c r="A24" s="11" t="s">
        <v>1769</v>
      </c>
      <c r="B24" s="10" t="s">
        <v>1770</v>
      </c>
      <c r="C24" s="10" t="s">
        <v>1771</v>
      </c>
      <c r="D24" s="10" t="s">
        <v>414</v>
      </c>
      <c r="E24" s="10" t="s">
        <v>1772</v>
      </c>
      <c r="F24" s="8"/>
      <c r="G24" s="8"/>
      <c r="H24" s="8"/>
    </row>
    <row r="25" customFormat="false" ht="42.75" hidden="false" customHeight="true" outlineLevel="0" collapsed="false">
      <c r="A25" s="11" t="s">
        <v>1773</v>
      </c>
      <c r="B25" s="10" t="s">
        <v>1774</v>
      </c>
      <c r="C25" s="10" t="s">
        <v>1775</v>
      </c>
      <c r="D25" s="10" t="s">
        <v>1776</v>
      </c>
      <c r="E25" s="10" t="s">
        <v>1777</v>
      </c>
      <c r="F25" s="8"/>
      <c r="G25" s="8"/>
      <c r="H25" s="8"/>
    </row>
    <row r="26" customFormat="false" ht="42.75" hidden="false" customHeight="true" outlineLevel="0" collapsed="false">
      <c r="A26" s="11" t="s">
        <v>1778</v>
      </c>
      <c r="B26" s="10" t="s">
        <v>1779</v>
      </c>
      <c r="C26" s="10" t="s">
        <v>1780</v>
      </c>
      <c r="D26" s="10" t="s">
        <v>414</v>
      </c>
      <c r="E26" s="10" t="s">
        <v>1781</v>
      </c>
      <c r="F26" s="8"/>
      <c r="G26" s="8"/>
      <c r="H26" s="8"/>
    </row>
    <row r="27" customFormat="false" ht="55.5" hidden="false" customHeight="true" outlineLevel="0" collapsed="false">
      <c r="A27" s="11" t="s">
        <v>1782</v>
      </c>
      <c r="B27" s="10" t="s">
        <v>1783</v>
      </c>
      <c r="C27" s="10" t="s">
        <v>1784</v>
      </c>
      <c r="D27" s="10" t="s">
        <v>1785</v>
      </c>
      <c r="E27" s="10" t="s">
        <v>1786</v>
      </c>
      <c r="F27" s="8"/>
      <c r="G27" s="8"/>
      <c r="H27" s="8"/>
    </row>
    <row r="28" customFormat="false" ht="69" hidden="false" customHeight="true" outlineLevel="0" collapsed="false">
      <c r="A28" s="11" t="s">
        <v>1787</v>
      </c>
      <c r="B28" s="10" t="s">
        <v>1788</v>
      </c>
      <c r="C28" s="10" t="s">
        <v>1789</v>
      </c>
      <c r="D28" s="10" t="s">
        <v>1790</v>
      </c>
      <c r="E28" s="10" t="s">
        <v>1791</v>
      </c>
      <c r="F28" s="8"/>
      <c r="G28" s="8"/>
      <c r="H28" s="8"/>
    </row>
    <row r="29" customFormat="false" ht="42.75" hidden="false" customHeight="true" outlineLevel="0" collapsed="false">
      <c r="A29" s="11" t="s">
        <v>1792</v>
      </c>
      <c r="B29" s="10" t="s">
        <v>1793</v>
      </c>
      <c r="C29" s="10" t="s">
        <v>1794</v>
      </c>
      <c r="D29" s="10" t="s">
        <v>1795</v>
      </c>
      <c r="E29" s="10" t="s">
        <v>1796</v>
      </c>
      <c r="F29" s="8"/>
      <c r="G29" s="8"/>
      <c r="H29" s="8"/>
    </row>
    <row r="30" customFormat="false" ht="30" hidden="false" customHeight="true" outlineLevel="0" collapsed="false">
      <c r="A30" s="11" t="s">
        <v>1797</v>
      </c>
      <c r="B30" s="10" t="s">
        <v>1798</v>
      </c>
      <c r="C30" s="10" t="s">
        <v>1799</v>
      </c>
      <c r="D30" s="10" t="s">
        <v>414</v>
      </c>
      <c r="E30" s="10" t="s">
        <v>1800</v>
      </c>
      <c r="F30" s="8"/>
      <c r="G30" s="8"/>
      <c r="H30" s="8"/>
    </row>
    <row r="31" customFormat="false" ht="55.5" hidden="false" customHeight="true" outlineLevel="0" collapsed="false">
      <c r="A31" s="11" t="s">
        <v>1801</v>
      </c>
      <c r="B31" s="10" t="s">
        <v>1802</v>
      </c>
      <c r="C31" s="10" t="s">
        <v>1803</v>
      </c>
      <c r="D31" s="10" t="s">
        <v>414</v>
      </c>
      <c r="E31" s="10" t="s">
        <v>1804</v>
      </c>
      <c r="F31" s="8"/>
      <c r="G31" s="8"/>
      <c r="H31" s="8"/>
    </row>
    <row r="32" customFormat="false" ht="30" hidden="false" customHeight="true" outlineLevel="0" collapsed="false">
      <c r="A32" s="11" t="s">
        <v>1805</v>
      </c>
      <c r="B32" s="10" t="s">
        <v>1806</v>
      </c>
      <c r="C32" s="10" t="s">
        <v>1807</v>
      </c>
      <c r="D32" s="10" t="s">
        <v>414</v>
      </c>
      <c r="E32" s="10" t="s">
        <v>1808</v>
      </c>
      <c r="F32" s="8"/>
      <c r="G32" s="8"/>
      <c r="H32" s="8"/>
    </row>
    <row r="33" customFormat="false" ht="55.5" hidden="false" customHeight="true" outlineLevel="0" collapsed="false">
      <c r="A33" s="11" t="s">
        <v>1809</v>
      </c>
      <c r="B33" s="10" t="s">
        <v>1810</v>
      </c>
      <c r="C33" s="10" t="s">
        <v>1811</v>
      </c>
      <c r="D33" s="10" t="s">
        <v>1812</v>
      </c>
      <c r="E33" s="10" t="s">
        <v>1813</v>
      </c>
      <c r="F33" s="8"/>
      <c r="G33" s="8"/>
      <c r="H33" s="8"/>
    </row>
    <row r="34" customFormat="false" ht="55.5" hidden="false" customHeight="true" outlineLevel="0" collapsed="false">
      <c r="A34" s="11" t="s">
        <v>1814</v>
      </c>
      <c r="B34" s="10" t="s">
        <v>1815</v>
      </c>
      <c r="C34" s="10" t="s">
        <v>1816</v>
      </c>
      <c r="D34" s="10" t="s">
        <v>1817</v>
      </c>
      <c r="E34" s="10" t="s">
        <v>1818</v>
      </c>
      <c r="F34" s="8"/>
      <c r="G34" s="8"/>
      <c r="H34" s="8"/>
    </row>
    <row r="35" customFormat="false" ht="69" hidden="false" customHeight="true" outlineLevel="0" collapsed="false">
      <c r="A35" s="11" t="s">
        <v>1819</v>
      </c>
      <c r="B35" s="10" t="s">
        <v>1820</v>
      </c>
      <c r="C35" s="10" t="s">
        <v>1821</v>
      </c>
      <c r="D35" s="10" t="s">
        <v>1822</v>
      </c>
      <c r="E35" s="10" t="s">
        <v>1823</v>
      </c>
      <c r="F35" s="8"/>
      <c r="G35" s="8"/>
      <c r="H35" s="8"/>
    </row>
    <row r="36" customFormat="false" ht="55.5" hidden="false" customHeight="true" outlineLevel="0" collapsed="false">
      <c r="A36" s="11" t="s">
        <v>1824</v>
      </c>
      <c r="B36" s="10" t="s">
        <v>1825</v>
      </c>
      <c r="C36" s="10" t="s">
        <v>1826</v>
      </c>
      <c r="D36" s="10" t="s">
        <v>1827</v>
      </c>
      <c r="E36" s="10" t="s">
        <v>1828</v>
      </c>
      <c r="F36" s="8"/>
      <c r="G36" s="8"/>
      <c r="H36" s="8"/>
    </row>
    <row r="37" customFormat="false" ht="81.75" hidden="false" customHeight="true" outlineLevel="0" collapsed="false">
      <c r="A37" s="11" t="s">
        <v>1829</v>
      </c>
      <c r="B37" s="10" t="s">
        <v>1830</v>
      </c>
      <c r="C37" s="10" t="s">
        <v>1831</v>
      </c>
      <c r="D37" s="10" t="s">
        <v>1832</v>
      </c>
      <c r="E37" s="10" t="s">
        <v>1833</v>
      </c>
      <c r="F37" s="8"/>
      <c r="G37" s="8"/>
      <c r="H37" s="8"/>
    </row>
  </sheetData>
  <autoFilter ref="A4:H37"/>
  <conditionalFormatting sqref="F5:F37">
    <cfRule type="cellIs" priority="2" operator="equal" aboveAverage="0" equalAverage="0" bottom="0" percent="0" rank="0" text="" dxfId="1">
      <formula>"Approve"</formula>
    </cfRule>
    <cfRule type="cellIs" priority="3" operator="equal" aboveAverage="0" equalAverage="0" bottom="0" percent="0" rank="0" text="" dxfId="0">
      <formula>"Approve with changes"</formula>
    </cfRule>
    <cfRule type="cellIs" priority="4" operator="equal" aboveAverage="0" equalAverage="0" bottom="0" percent="0" rank="0" text="" dxfId="0">
      <formula>"Defer"</formula>
    </cfRule>
    <cfRule type="cellIs" priority="5" operator="equal" aboveAverage="0" equalAverage="0" bottom="0" percent="0" rank="0" text="" dxfId="0">
      <formula>"Need more info"</formula>
    </cfRule>
    <cfRule type="cellIs" priority="6" operator="equal" aboveAverage="0" equalAverage="0" bottom="0" percent="0" rank="0" text="" dxfId="7">
      <formula>"Reject"</formula>
    </cfRule>
  </conditionalFormatting>
  <dataValidations count="1">
    <dataValidation allowBlank="true" error="Pick a value from the list." errorStyle="stop" errorTitle="Invalid entry" operator="between" prompt="Pick one: Approve / Approve with changes / Reject / Defer / Need more info" promptTitle="Your response" showDropDown="false" showErrorMessage="true" showInputMessage="false" sqref="F5:F37" type="list">
      <formula1>"Approve,Approve with changes,Reject,Defer,Need more info"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2026-10-15T12:15:48Z</dcterms:created>
  <dc:creator>openpyxl</dc:creator>
  <dc:description/>
  <dc:language>en-US</dc:language>
  <cp:lastModifiedBy/>
  <dcterms:modified xsi:type="dcterms:W3CDTF">2026-10-15T12:15:48Z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