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1 Decisions" sheetId="2" state="visible" r:id="rId2"/>
    <sheet name="2 Resolutions" sheetId="3" state="visible" r:id="rId3"/>
    <sheet name="3 Risks" sheetId="4" state="visible" r:id="rId4"/>
    <sheet name="4 Verification" sheetId="5" state="visible" r:id="rId5"/>
    <sheet name="5 Checklist" sheetId="6" state="visible" r:id="rId6"/>
    <sheet name="Ref Engines" sheetId="7" state="visible" r:id="rId7"/>
    <sheet name="Ref Domains" sheetId="8" state="visible" r:id="rId8"/>
    <sheet name="Ref Task Forces" sheetId="9" state="visible" r:id="rId9"/>
    <sheet name="Ref Integrations" sheetId="10" state="visible" r:id="rId10"/>
    <sheet name="Ref Voice" sheetId="11" state="visible" r:id="rId11"/>
    <sheet name="Ref Multimodal" sheetId="12" state="visible" r:id="rId12"/>
    <sheet name="Ref Governance" sheetId="13" state="visible" r:id="rId13"/>
    <sheet name="Ref Day 1" sheetId="14" state="visible" r:id="rId14"/>
    <sheet name="Ref Hardware" sheetId="15" state="visible" r:id="rId15"/>
  </sheets>
  <definedNames>
    <definedName name="_xlnm._FilterDatabase" localSheetId="1" hidden="1">'1 Decisions'!$A$4:$F$31</definedName>
    <definedName name="_xlnm._FilterDatabase" localSheetId="2" hidden="1">'2 Resolutions'!$A$4:$E$34</definedName>
    <definedName name="_xlnm._FilterDatabase" localSheetId="3" hidden="1">'3 Risks'!$A$4:$G$37</definedName>
    <definedName name="_xlnm._FilterDatabase" localSheetId="4" hidden="1">'4 Verification'!$A$4:$E$29</definedName>
    <definedName name="_xlnm._FilterDatabase" localSheetId="5" hidden="1">'5 Checklist'!$A$4:$E$46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555555"/>
      <sz val="9"/>
    </font>
    <font>
      <name val="Arial"/>
      <b val="1"/>
      <color rgb="00FFFFFF"/>
      <sz val="10"/>
    </font>
    <font>
      <name val="Arial"/>
      <sz val="10"/>
    </font>
    <font>
      <name val="Arial"/>
      <b val="1"/>
      <sz val="10"/>
    </font>
  </fonts>
  <fills count="8">
    <fill>
      <patternFill/>
    </fill>
    <fill>
      <patternFill patternType="gray125"/>
    </fill>
    <fill>
      <patternFill patternType="solid">
        <fgColor rgb="001F3864"/>
      </patternFill>
    </fill>
    <fill>
      <patternFill patternType="solid">
        <fgColor rgb="00FFFF00"/>
      </patternFill>
    </fill>
    <fill>
      <patternFill patternType="solid">
        <fgColor rgb="00C6EFCE"/>
      </patternFill>
    </fill>
    <fill>
      <patternFill patternType="solid">
        <fgColor rgb="00FFEB9C"/>
      </patternFill>
    </fill>
    <fill>
      <patternFill patternType="solid">
        <fgColor rgb="00FFC7CE"/>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0" fontId="4" fillId="0" borderId="0" pivotButton="0" quotePrefix="0" xfId="0"/>
    <xf numFmtId="0" fontId="4" fillId="3" borderId="1" pivotButton="0" quotePrefix="0" xfId="0"/>
    <xf numFmtId="0" fontId="4" fillId="0" borderId="1" pivotButton="0" quotePrefix="0" xfId="0"/>
    <xf numFmtId="0" fontId="4" fillId="4" borderId="1" pivotButton="0" quotePrefix="0" xfId="0"/>
    <xf numFmtId="0" fontId="4" fillId="5" borderId="1" pivotButton="0" quotePrefix="0" xfId="0"/>
    <xf numFmtId="0" fontId="4" fillId="6" borderId="1" pivotButton="0" quotePrefix="0" xfId="0"/>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4" fillId="0" borderId="1" applyAlignment="1" pivotButton="0" quotePrefix="0" xfId="0">
      <alignment horizontal="center" vertical="top" wrapText="1"/>
    </xf>
    <xf numFmtId="0" fontId="5" fillId="0" borderId="1" applyAlignment="1" pivotButton="0" quotePrefix="0" xfId="0">
      <alignment horizontal="center"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3" borderId="1" applyAlignment="1" pivotButton="0" quotePrefix="0" xfId="0">
      <alignment horizontal="center" vertical="top" wrapText="1"/>
    </xf>
    <xf numFmtId="0" fontId="4" fillId="3" borderId="1"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cols>
    <col width="26" customWidth="1" min="1" max="1"/>
    <col width="40" customWidth="1" min="2" max="2"/>
    <col width="30" customWidth="1" min="3" max="3"/>
    <col width="14" customWidth="1" min="4" max="4"/>
    <col width="22" customWidth="1" min="5" max="5"/>
    <col width="40" customWidth="1" min="6" max="6"/>
    <col width="24" customWidth="1" min="7" max="7"/>
  </cols>
  <sheetData>
    <row r="1">
      <c r="A1" s="1" t="inlineStr">
        <is>
          <t>A.T.L.A.S. Build Baseline</t>
        </is>
      </c>
    </row>
    <row r="2">
      <c r="A2" s="2" t="inlineStr">
        <is>
          <t>Companion to docs/ATLAS_FRAMEWORK_REVIEW.md v0.4.0 (2026-10-17), built from it by scripts/day1/tools/build-baseline-workbook.py (D-27). v0.4.0 records the action register the Principal returned on 2026-10-16, every row approved as recommended (P-10 with the Principal's change: Eleanor's router stays at 4B for classification only, and her own persona work moves to GLM-5.3-Flash; the questions on P-10 and on memory headroom, N-01 and N-03, are answered in the document's 5.3, 4.1 and 4.2): llama.cpp re-pinned to build tag b11474, with the old pin v0.4.1 kept only for the output-parity test V25 (sheet 4); GLM-5.3-Flash UD-IQ4_XS (with its glm5v projector, also the vision engine and the long-document route) and DeepSeek-V4-Flash-0731 UD-Q8_K_XL (Arthur and the Apex) as the Day 1 seats, gpt-oss-120b as the fast utility and fallback floor, the 4B router unchanged; one LLM seat resident at a time; the Engine Arbiter budgeting exact file bytes; the Qwen3 4B embedder and reranker on the CPU, replacing the bge pair before Day 1; the Phase 3 pull cut to about 448 GB; and pyannote community-1 now (C-06). D16 to D27 on sheet 1 record the decisions (D16 to D18 reopen D4, D10 and D12) and C28 to C30 on sheet 2 supersede C23, C25 and C26; R29 to R33 on sheet 3, with R4, R17, R19 and R20 restated, were acknowledged by the Principal on 2026-10-17, the day the Principal also approved the six RAM fixes (S55: an explicit prompt-cache cap on every engine, a 4 GiB /tmp, at most 8 Celery cpu workers, memory caps on Kokoro, speaches and Docling, an order for the out-of-memory killer, and a seat whose start failed stopped before its reservation goes) and confirmed V25's pass marks, with no new version number. The specialist seats (Intern-S1, Ling-3.0-flash-Fin, Baichuan-M3), slot save and restore, swap batching, the speech, image and OCR companions, the Qwen3.8-Flash-Next and Nemotron 3 Super pulls, the drafters and the DeepSeek V4.1 trial are phased after Day 1, each with its to-do; where an approved row leaves an input to the Principal (the decode floors, the context targets, the test sets), its default is built and a to-do raised (sheet 5). Later on 2026-10-17 (S56) the Principal approved the recommendations for those inputs: decode floors at 8k (gpt-oss-120b 25, GLM-5.3-Flash 6, DeepSeek-V4-Flash-0731 4, the router 20 tok/s) with prefill floors and placement checks, the D-16 profile of the phased medical and science seats, no dedicated coder seat (Qwen3-Coder-Next not pulled), EmbeddingGemma 2 dropped, MedGemma 1.5 4B only on conditions, and the designs of the seat test sets and the V4.1 trial set; and recorded a 2,000 Mbps line with the node moving to a cable on its 10 GbE port before Phase 1. What those answers still leave open is on sheet 5. The same day (S57) the Principal's statements were recorded: ATLAS's Australian law is that of the Commonwealth, VIC, NSW and QLD; an Australian Standard's text is held only under the Principal's own licence, otherwise its number, edition and free commentary; the briefs for the seat test sets are collected once ATLAS is live, from real examples; and the MedGemma licence decision is a task for the live ATLAS with the Principal present. Two proposals await the Principal, not decided: the 16 Australian-law tasks spread across the four jurisdictions, and about 10 Australian tax and finance tasks. The uncensored-seat items (D-07, D-08, D-09, D-58, N-10, P-05, P-17, S-05) are unchanged by this revision and remain the Principal's to configure. Until v0.4.0 this workbook was the closed v0.3.5 record of 2026-10-12: Ubuntu Server kept over Fedora 44 KDE Plasma (C27), the crash-kernel memory reclaimed with panic=10 (S48), kexec handover off (S49), the hardware watchdog (S50), torchaudio pinned so Phase 4 stays on ROCm 10.0.0 (S51), every request kept inside its engine's slot with the Phase 3 memory records (S52), and the pruning fixes (S53), with every decision and resolution confirmed and every risk acknowledged. The Day 1 scripts under scripts/day1 never stop on a missing input from the Principal (they ask once, defer, and keep a to-do list). Nothing has been executed.</t>
        </is>
      </c>
    </row>
    <row r="4">
      <c r="A4" s="3" t="inlineStr">
        <is>
          <t>How to use this workbook</t>
        </is>
      </c>
    </row>
    <row r="5">
      <c r="A5" s="4" t="inlineStr">
        <is>
          <t>1. Sheets 1, 2 and 3 are a record of your answers of 2026-09-21, 2026-10-05 (D15: Secure Boot enabled), 2026-10-08 (C27: Ubuntu kept; R22 to R25 acknowledged), 2026-10-13 (R26 to R28 acknowledged), 2026-10-16 (the action register: D16 to D27 and C28 to C30) and 2026-10-17 (R29 to R33 and the restated R4, R17, R19 and R20 acknowledged; later, S56: your answers to the open inputs in D16 to D26, R9 and R20 restated with B-27; S57: in D20, the briefs collected once ATLAS is live). Nothing on them needs you now. Sheet 5 records the Secure Boot BIOS setting made and the USB recovery drive in hand (both confirmed 2026-10-13) and lists the optional items the scripts ask for at a prompt and the inputs still left to you, each with the default already built. Sheet 4 fills during Day 1.</t>
        </is>
      </c>
    </row>
    <row r="6">
      <c r="A6" s="4" t="inlineStr">
        <is>
          <t>2. Use the dropdown in each response column. Cells colour green, amber, or red as you answer.</t>
        </is>
      </c>
    </row>
    <row r="7">
      <c r="A7" s="4" t="inlineStr">
        <is>
          <t>3. Where you choose 'Change' or 'Disagree', write the alternative in the next column so it can be folded back into the brief.</t>
        </is>
      </c>
    </row>
    <row r="8">
      <c r="A8" s="4" t="inlineStr">
        <is>
          <t>4. Sheet 4 (Verification) is filled during Day 1 as each phase gate runs, not now; its Result column shows amber 'Not yet run' until then.</t>
        </is>
      </c>
    </row>
    <row r="9">
      <c r="A9" s="4" t="inlineStr">
        <is>
          <t>5. The Ref sheets carry the agreed maps (hardware, platform watch-list and memory budget, the Day 1 and phased engines, cabinet, domains, task forces, integrations, voice, multimodal, governance, Day 1 and its test plan) for checking against.</t>
        </is>
      </c>
    </row>
    <row r="10">
      <c r="A10" s="4" t="inlineStr">
        <is>
          <t>6. Outstanding before Phase 1: sheet 5 row 32, the cable (your choice of 2026-10-17, S56): plug it into the 10 GbE port not marked DASH and a 2.5 GbE router port, move the reservation and the UDP 51820 forward to that port's MAC and take Wi-Fi off the LAN subnet (pre-flight warns, never stops, if it is not done). The other blank sheet 5 rows are optional or wait until after Day 1, and can be given at the prompt or left for the live ATLAS; sheet 5 row 29 still asks you to confirm that the installer's encryption option was taken (if it was not, Day 1 warns and records a to-do, never a stop). To reopen any other item, change its response cell (Changed my mind, Disagree, Discuss or No) and write the reason beside it; the progress table below shows it at once.</t>
        </is>
      </c>
    </row>
    <row r="12">
      <c r="A12" s="3" t="inlineStr">
        <is>
          <t>Legend</t>
        </is>
      </c>
    </row>
    <row r="13">
      <c r="A13" s="5" t="inlineStr">
        <is>
          <t>Yellow fill</t>
        </is>
      </c>
      <c r="B13" s="6" t="inlineStr">
        <is>
          <t>Cell for you to fill in</t>
        </is>
      </c>
    </row>
    <row r="14">
      <c r="A14" s="7" t="inlineStr">
        <is>
          <t>Green</t>
        </is>
      </c>
      <c r="B14" s="6" t="inlineStr">
        <is>
          <t>Confirmed / Accept / Yes / N/A / Pass</t>
        </is>
      </c>
    </row>
    <row r="15">
      <c r="A15" s="8" t="inlineStr">
        <is>
          <t>Amber</t>
        </is>
      </c>
      <c r="B15" s="6" t="inlineStr">
        <is>
          <t>Deferred / Not yet run (Not yet run counts as Remaining, not Hold)</t>
        </is>
      </c>
    </row>
    <row r="16">
      <c r="A16" s="9" t="inlineStr">
        <is>
          <t>Red</t>
        </is>
      </c>
      <c r="B16" s="6" t="inlineStr">
        <is>
          <t>Changed my mind / Disagree - return to decisions / Discuss / No / Fail</t>
        </is>
      </c>
    </row>
    <row r="19">
      <c r="A19" s="3" t="inlineStr">
        <is>
          <t>Progress (formulas update as you answer)</t>
        </is>
      </c>
    </row>
    <row r="20">
      <c r="A20" s="10" t="inlineStr">
        <is>
          <t>Sheet</t>
        </is>
      </c>
      <c r="B20" s="10" t="inlineStr">
        <is>
          <t>Items</t>
        </is>
      </c>
      <c r="C20" s="10" t="inlineStr">
        <is>
          <t>Answered</t>
        </is>
      </c>
      <c r="D20" s="10" t="inlineStr">
        <is>
          <t>Positive</t>
        </is>
      </c>
      <c r="E20" s="10" t="inlineStr">
        <is>
          <t>Hold</t>
        </is>
      </c>
      <c r="F20" s="10" t="inlineStr">
        <is>
          <t>Negative</t>
        </is>
      </c>
      <c r="G20" s="10" t="inlineStr">
        <is>
          <t>Remaining</t>
        </is>
      </c>
    </row>
    <row r="21">
      <c r="A21" s="11" t="inlineStr">
        <is>
          <t>1 Decisions</t>
        </is>
      </c>
      <c r="B21" s="12">
        <f>COUNTA('1 Decisions'!$A$5:$A$31)</f>
        <v/>
      </c>
      <c r="C21" s="12">
        <f>B21-G21</f>
        <v/>
      </c>
      <c r="D21" s="12">
        <f>COUNTIF('1 Decisions'!$E$5:$E$31,"Confirmed")</f>
        <v/>
      </c>
      <c r="E21" s="12">
        <f>0</f>
        <v/>
      </c>
      <c r="F21" s="12">
        <f>COUNTIF('1 Decisions'!$E$5:$E$31,"Changed my mind")</f>
        <v/>
      </c>
      <c r="G21" s="12">
        <f>COUNTBLANK('1 Decisions'!$E$5:$E$31)</f>
        <v/>
      </c>
    </row>
    <row r="22">
      <c r="A22" s="11" t="inlineStr">
        <is>
          <t>2 Resolutions</t>
        </is>
      </c>
      <c r="B22" s="12">
        <f>COUNTA('2 Resolutions'!$A$5:$A$34)</f>
        <v/>
      </c>
      <c r="C22" s="12">
        <f>B22-G22</f>
        <v/>
      </c>
      <c r="D22" s="12">
        <f>COUNTIF('2 Resolutions'!$D$5:$D$34,"Accept")</f>
        <v/>
      </c>
      <c r="E22" s="12">
        <f>0</f>
        <v/>
      </c>
      <c r="F22" s="12">
        <f>COUNTIF('2 Resolutions'!$D$5:$D$34,"Disagree - return to decisions")</f>
        <v/>
      </c>
      <c r="G22" s="12">
        <f>COUNTBLANK('2 Resolutions'!$D$5:$D$34)</f>
        <v/>
      </c>
    </row>
    <row r="23">
      <c r="A23" s="11" t="inlineStr">
        <is>
          <t>3 Risks</t>
        </is>
      </c>
      <c r="B23" s="12">
        <f>COUNTA('3 Risks'!$A$5:$A$37)</f>
        <v/>
      </c>
      <c r="C23" s="12">
        <f>B23-G23</f>
        <v/>
      </c>
      <c r="D23" s="12">
        <f>COUNTIF('3 Risks'!$F$5:$F$37,"Yes")</f>
        <v/>
      </c>
      <c r="E23" s="12">
        <f>0</f>
        <v/>
      </c>
      <c r="F23" s="12">
        <f>COUNTIF('3 Risks'!$F$5:$F$37,"Discuss")</f>
        <v/>
      </c>
      <c r="G23" s="12">
        <f>COUNTBLANK('3 Risks'!$F$5:$F$37)</f>
        <v/>
      </c>
    </row>
    <row r="24">
      <c r="A24" s="11" t="inlineStr">
        <is>
          <t>4 Verification</t>
        </is>
      </c>
      <c r="B24" s="12">
        <f>COUNTA('4 Verification'!$A$5:$A$29)</f>
        <v/>
      </c>
      <c r="C24" s="12">
        <f>B24-G24</f>
        <v/>
      </c>
      <c r="D24" s="12">
        <f>COUNTIF('4 Verification'!$D$5:$D$29,"Pass")</f>
        <v/>
      </c>
      <c r="E24" s="12">
        <f>COUNTIF('4 Verification'!$D$5:$D$29,"Deferred")</f>
        <v/>
      </c>
      <c r="F24" s="12">
        <f>COUNTIF('4 Verification'!$D$5:$D$29,"Fail")</f>
        <v/>
      </c>
      <c r="G24" s="12">
        <f>COUNTBLANK('4 Verification'!$D$5:$D$29)+COUNTIF('4 Verification'!$D$5:$D$29,"Not yet run")</f>
        <v/>
      </c>
    </row>
    <row r="25">
      <c r="A25" s="11" t="inlineStr">
        <is>
          <t>5 Checklist</t>
        </is>
      </c>
      <c r="B25" s="12">
        <f>COUNTA('5 Checklist'!$A$5:$A$46)</f>
        <v/>
      </c>
      <c r="C25" s="12">
        <f>B25-G25</f>
        <v/>
      </c>
      <c r="D25" s="12">
        <f>COUNTIF('5 Checklist'!$D$5:$D$46,"Yes")+COUNTIF('5 Checklist'!$D$5:$D$46,"N/A")</f>
        <v/>
      </c>
      <c r="E25" s="12">
        <f>0</f>
        <v/>
      </c>
      <c r="F25" s="12">
        <f>COUNTIF('5 Checklist'!$D$5:$D$46,"No")</f>
        <v/>
      </c>
      <c r="G25" s="12">
        <f>COUNTBLANK('5 Checklist'!$D$5:$D$46)</f>
        <v/>
      </c>
    </row>
    <row r="26">
      <c r="A26" s="3" t="inlineStr">
        <is>
          <t>Total</t>
        </is>
      </c>
      <c r="B26" s="13">
        <f>SUM(B21:B25)</f>
        <v/>
      </c>
      <c r="C26" s="13">
        <f>SUM(C21:C25)</f>
        <v/>
      </c>
      <c r="D26" s="13">
        <f>SUM(D21:D25)</f>
        <v/>
      </c>
      <c r="E26" s="13">
        <f>SUM(E21:E25)</f>
        <v/>
      </c>
      <c r="F26" s="13">
        <f>SUM(F21:F25)</f>
        <v/>
      </c>
      <c r="G26" s="13">
        <f>SUM(G21:G25)</f>
        <v/>
      </c>
    </row>
    <row r="27">
      <c r="A27" s="2" t="inlineStr">
        <is>
          <t>Positive / Hold / Negative map to each sheet's dropdown: Decisions = Confirmed / - / Changed my mind; Resolutions = Accept / - / Disagree; Risks = Yes / - / Discuss; Verification = Pass / Deferred / Fail, with Not yet run counted as Remaining; Checklist = Yes or N/A / - / No.</t>
        </is>
      </c>
    </row>
    <row r="30">
      <c r="A30" s="3" t="inlineStr">
        <is>
          <t>Example of a completed decision row (format only, not editable, not counted; grey marks where your text would go)</t>
        </is>
      </c>
    </row>
    <row r="31">
      <c r="A31" s="10" t="inlineStr">
        <is>
          <t>ID</t>
        </is>
      </c>
      <c r="B31" s="10" t="inlineStr">
        <is>
          <t>Decision</t>
        </is>
      </c>
      <c r="C31" s="10" t="inlineStr">
        <is>
          <t>Recommendation</t>
        </is>
      </c>
      <c r="D31" s="10" t="inlineStr">
        <is>
          <t>Blocks</t>
        </is>
      </c>
      <c r="E31" s="10" t="inlineStr">
        <is>
          <t>Your response</t>
        </is>
      </c>
      <c r="F31" s="10" t="inlineStr">
        <is>
          <t>Your answer or alternative</t>
        </is>
      </c>
      <c r="G31" s="10" t="inlineStr">
        <is>
          <t>Notes</t>
        </is>
      </c>
    </row>
    <row r="32">
      <c r="A32" s="11" t="inlineStr">
        <is>
          <t>D0</t>
        </is>
      </c>
      <c r="B32" s="11" t="inlineStr">
        <is>
          <t>Example: which mail client the node uses</t>
        </is>
      </c>
      <c r="C32" s="11" t="inlineStr">
        <is>
          <t>Client A</t>
        </is>
      </c>
      <c r="D32" s="11" t="inlineStr">
        <is>
          <t>Phase 2</t>
        </is>
      </c>
      <c r="E32" s="14" t="inlineStr">
        <is>
          <t>Changed my mind</t>
        </is>
      </c>
      <c r="F32" s="15" t="inlineStr">
        <is>
          <t>Use client B, it already holds my accounts</t>
        </is>
      </c>
      <c r="G32" s="15" t="inlineStr">
        <is>
          <t>Discussed 2026-09-21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52" customWidth="1" min="3" max="3"/>
    <col width="40" customWidth="1" min="4" max="4"/>
    <col width="16" customWidth="1" min="5" max="5"/>
    <col width="40" customWidth="1" min="6" max="6"/>
  </cols>
  <sheetData>
    <row r="1">
      <c r="A1" s="1" t="inlineStr">
        <is>
          <t>1 Decisions</t>
        </is>
      </c>
    </row>
    <row r="2">
      <c r="A2" s="2" t="inlineStr">
        <is>
          <t>Section 19. All twenty-seven are closed. D15 (Secure Boot and the TPM binding) was decided on 2026-10-05 as option (a), Secure Boot enabled in the BIOS. D16 to D27 (v0.4.0) record the action register the Principal returned on 2026-10-16, every row approved as recommended (P-10 with the Principal's change); D16, D17 and D18 reopen D4 (the retrieval models), D10 (the vision engine) and D12 (Meditron), whose rows say so in their Note. D16, D18, D20, D22, D24 and D26 carry the Principal's answers of 2026-10-17 to the inputs they had left open (S56: the decode, prefill and deep-tier floors, the D-16 profile, no dedicated coder seat, EmbeddingGemma 2 dropped, the test-set and trial designs). D20 also records S57: the D-49 briefs are collected once ATLAS is live, from real examples.</t>
        </is>
      </c>
    </row>
    <row r="4">
      <c r="A4" s="10" t="inlineStr">
        <is>
          <t>ID</t>
        </is>
      </c>
      <c r="B4" s="10" t="inlineStr">
        <is>
          <t>Decision</t>
        </is>
      </c>
      <c r="C4" s="10" t="inlineStr">
        <is>
          <t>Your answer (as given)</t>
        </is>
      </c>
      <c r="D4" s="10" t="inlineStr">
        <is>
          <t>Note</t>
        </is>
      </c>
      <c r="E4" s="10" t="inlineStr">
        <is>
          <t>Still stands?</t>
        </is>
      </c>
      <c r="F4" s="10" t="inlineStr">
        <is>
          <t>If changed, what instead</t>
        </is>
      </c>
    </row>
    <row r="5">
      <c r="A5" s="12" t="inlineStr">
        <is>
          <t>D1</t>
        </is>
      </c>
      <c r="B5" s="11" t="inlineStr">
        <is>
          <t>Inference backend: llama-server or Ollama</t>
        </is>
      </c>
      <c r="C5" s="11" t="inlineStr">
        <is>
          <t>llama-server, Ollama not installed</t>
        </is>
      </c>
      <c r="D5" s="11" t="inlineStr">
        <is>
          <t>Accepted as recommended</t>
        </is>
      </c>
      <c r="E5" s="16" t="inlineStr">
        <is>
          <t>Confirmed</t>
        </is>
      </c>
      <c r="F5" s="17" t="n"/>
    </row>
    <row r="6">
      <c r="A6" s="12" t="inlineStr">
        <is>
          <t>D2</t>
        </is>
      </c>
      <c r="B6" s="11" t="inlineStr">
        <is>
          <t>Secure Boot: disable, or enrol keys</t>
        </is>
      </c>
      <c r="C6" s="11" t="inlineStr">
        <is>
          <t>Disabled on a headless node behind a firewall</t>
        </is>
      </c>
      <c r="D6" s="11" t="inlineStr">
        <is>
          <t>Accepted as recommended; superseded by D15 (enabled)</t>
        </is>
      </c>
      <c r="E6" s="16" t="inlineStr">
        <is>
          <t>Confirmed</t>
        </is>
      </c>
      <c r="F6" s="17" t="n"/>
    </row>
    <row r="7">
      <c r="A7" s="12" t="inlineStr">
        <is>
          <t>D3</t>
        </is>
      </c>
      <c r="B7" s="11" t="inlineStr">
        <is>
          <t>Where the LUKS recovery key and restic passphrase live</t>
        </is>
      </c>
      <c r="C7" s="11" t="inlineStr">
        <is>
          <t>On the node and on an external USB drive</t>
        </is>
      </c>
      <c r="D7" s="11" t="inlineStr">
        <is>
          <t>Changed by the Principal. See R16: the USB copy is the one that survives node loss, so it must be stored away from the node</t>
        </is>
      </c>
      <c r="E7" s="16" t="inlineStr">
        <is>
          <t>Confirmed</t>
        </is>
      </c>
      <c r="F7" s="17" t="n"/>
    </row>
    <row r="8">
      <c r="A8" s="12" t="inlineStr">
        <is>
          <t>D4</t>
        </is>
      </c>
      <c r="B8" s="11" t="inlineStr">
        <is>
          <t>Router model and embedding model</t>
        </is>
      </c>
      <c r="C8" s="11" t="inlineStr">
        <is>
          <t>Qwen3.5 4B-class instruct, bge-m3, bge-reranker-v2-m3</t>
        </is>
      </c>
      <c r="D8" s="11" t="inlineStr">
        <is>
          <t>Accepted as recommended; reopened in v0.4.0 by D16</t>
        </is>
      </c>
      <c r="E8" s="16" t="inlineStr">
        <is>
          <t>Confirmed</t>
        </is>
      </c>
      <c r="F8" s="17" t="n"/>
    </row>
    <row r="9">
      <c r="A9" s="12" t="inlineStr">
        <is>
          <t>D5</t>
        </is>
      </c>
      <c r="B9" s="11" t="inlineStr">
        <is>
          <t>Whether the reserve domains are adopted</t>
        </is>
      </c>
      <c r="C9" s="11" t="inlineStr">
        <is>
          <t>Adopted now, with nine further areas supplied. Six new domains, five subspecialty folds</t>
        </is>
      </c>
      <c r="D9" s="11" t="inlineStr">
        <is>
          <t>Changed by the Principal (8.2, C24)</t>
        </is>
      </c>
      <c r="E9" s="16" t="inlineStr">
        <is>
          <t>Confirmed</t>
        </is>
      </c>
      <c r="F9" s="17" t="n"/>
    </row>
    <row r="10">
      <c r="A10" s="12" t="inlineStr">
        <is>
          <t>D6</t>
        </is>
      </c>
      <c r="B10" s="11" t="inlineStr">
        <is>
          <t>Sentinel feed list</t>
        </is>
      </c>
      <c r="C10" s="11" t="inlineStr">
        <is>
          <t>CoinDesk, ASX and US index feed, RSS news, node telemetry</t>
        </is>
      </c>
      <c r="D10" s="11" t="inlineStr">
        <is>
          <t>Accepted as recommended</t>
        </is>
      </c>
      <c r="E10" s="16" t="inlineStr">
        <is>
          <t>Confirmed</t>
        </is>
      </c>
      <c r="F10" s="17" t="n"/>
    </row>
    <row r="11">
      <c r="A11" s="12" t="inlineStr">
        <is>
          <t>D7</t>
        </is>
      </c>
      <c r="B11" s="11" t="inlineStr">
        <is>
          <t>Graph layer: GraphRAG or LightRAG</t>
        </is>
      </c>
      <c r="C11" s="11" t="inlineStr">
        <is>
          <t>LightRAG</t>
        </is>
      </c>
      <c r="D11" s="11" t="inlineStr">
        <is>
          <t>Accepted as recommended</t>
        </is>
      </c>
      <c r="E11" s="16" t="inlineStr">
        <is>
          <t>Confirmed</t>
        </is>
      </c>
      <c r="F11" s="17" t="n"/>
    </row>
    <row r="12">
      <c r="A12" s="12" t="inlineStr">
        <is>
          <t>D8</t>
        </is>
      </c>
      <c r="B12" s="11" t="inlineStr">
        <is>
          <t>The never-without-the-Principal list</t>
        </is>
      </c>
      <c r="C12" s="11" t="inlineStr">
        <is>
          <t>The ten items in 16.3 are binding</t>
        </is>
      </c>
      <c r="D12" s="11" t="inlineStr">
        <is>
          <t>Accepted as recommended</t>
        </is>
      </c>
      <c r="E12" s="16" t="inlineStr">
        <is>
          <t>Confirmed</t>
        </is>
      </c>
      <c r="F12" s="17" t="n"/>
    </row>
    <row r="13">
      <c r="A13" s="12" t="inlineStr">
        <is>
          <t>D9</t>
        </is>
      </c>
      <c r="B13" s="11" t="inlineStr">
        <is>
          <t>Retention rule for chats, logs, backups</t>
        </is>
      </c>
      <c r="C13" s="11" t="inlineStr">
        <is>
          <t>Defaults in 10.4 and 9.5 are binding</t>
        </is>
      </c>
      <c r="D13" s="11" t="inlineStr">
        <is>
          <t>Accepted as recommended</t>
        </is>
      </c>
      <c r="E13" s="16" t="inlineStr">
        <is>
          <t>Confirmed</t>
        </is>
      </c>
      <c r="F13" s="17" t="n"/>
    </row>
    <row r="14">
      <c r="A14" s="12" t="inlineStr">
        <is>
          <t>D10</t>
        </is>
      </c>
      <c r="B14" s="11" t="inlineStr">
        <is>
          <t>Primary vision engine</t>
        </is>
      </c>
      <c r="C14" s="11" t="inlineStr">
        <is>
          <t>Qwen2.5-VL-72B at Q8_0, sole vision engine. GLM-4.6V-Flash and the 7B and 32B variants dropped</t>
        </is>
      </c>
      <c r="D14" s="11" t="inlineStr">
        <is>
          <t>Changed by the Principal: maximum quality, slow speed accepted (15.2, C25); reopened in v0.4.0 by D17</t>
        </is>
      </c>
      <c r="E14" s="16" t="inlineStr">
        <is>
          <t>Confirmed</t>
        </is>
      </c>
      <c r="F14" s="17" t="n"/>
    </row>
    <row r="15">
      <c r="A15" s="12" t="inlineStr">
        <is>
          <t>D11</t>
        </is>
      </c>
      <c r="B15" s="11" t="inlineStr">
        <is>
          <t>Apple .ipa build path</t>
        </is>
      </c>
      <c r="C15" s="11" t="inlineStr">
        <is>
          <t>Removed from the design. No Mac, no cloud runner, no macOS virtualisation. iOS source is still written, compiled elsewhere if Mac access ever exists</t>
        </is>
      </c>
      <c r="D15" s="11" t="inlineStr">
        <is>
          <t>Changed by the Principal</t>
        </is>
      </c>
      <c r="E15" s="16" t="inlineStr">
        <is>
          <t>Confirmed</t>
        </is>
      </c>
      <c r="F15" s="17" t="n"/>
    </row>
    <row r="16">
      <c r="A16" s="12" t="inlineStr">
        <is>
          <t>D12</t>
        </is>
      </c>
      <c r="B16" s="11" t="inlineStr">
        <is>
          <t>Meditron-70B: include or skip</t>
        </is>
      </c>
      <c r="C16" s="11" t="inlineStr">
        <is>
          <t>Included in Phase 3 at Q8_0</t>
        </is>
      </c>
      <c r="D16" s="11" t="inlineStr">
        <is>
          <t>Accepted, with "include now" noted; reopened in v0.4.0 by D18</t>
        </is>
      </c>
      <c r="E16" s="16" t="inlineStr">
        <is>
          <t>Confirmed</t>
        </is>
      </c>
      <c r="F16" s="17" t="n"/>
    </row>
    <row r="17">
      <c r="A17" s="12" t="inlineStr">
        <is>
          <t>D13</t>
        </is>
      </c>
      <c r="B17" s="11" t="inlineStr">
        <is>
          <t>Vault idle auto-lock period</t>
        </is>
      </c>
      <c r="C17" s="11" t="inlineStr">
        <is>
          <t>15 minutes</t>
        </is>
      </c>
      <c r="D17" s="11" t="inlineStr">
        <is>
          <t>Accepted as recommended</t>
        </is>
      </c>
      <c r="E17" s="16" t="inlineStr">
        <is>
          <t>Confirmed</t>
        </is>
      </c>
      <c r="F17" s="17" t="n"/>
    </row>
    <row r="18">
      <c r="A18" s="12" t="inlineStr">
        <is>
          <t>D14</t>
        </is>
      </c>
      <c r="B18" s="11" t="inlineStr">
        <is>
          <t>Director mailboxes or aliases</t>
        </is>
      </c>
      <c r="C18" s="11" t="inlineStr">
        <is>
          <t>Aliases auto-generated from each director's name on the Workspace domain, firstname.lastname pattern</t>
        </is>
      </c>
      <c r="D18" s="11" t="inlineStr">
        <is>
          <t>Accepted, with automatic generation requested</t>
        </is>
      </c>
      <c r="E18" s="16" t="inlineStr">
        <is>
          <t>Confirmed</t>
        </is>
      </c>
      <c r="F18" s="17" t="n"/>
    </row>
    <row r="19">
      <c r="A19" s="12" t="inlineStr">
        <is>
          <t>D15</t>
        </is>
      </c>
      <c r="B19" s="11" t="inlineStr">
        <is>
          <t>Secure Boot and the TPM binding (reopens D2)</t>
        </is>
      </c>
      <c r="C19" s="11" t="inlineStr">
        <is>
          <t>CLOSED 2026-10-05: option (a), Secure Boot enabled. With Secure Boot off, PCR 7 is the same for any boot medium, so the data volume would unseal for any OS booted on this hardware. Enabling Secure Boot reverses D2 at no cost: this stack has no out-of-tree kernel modules (amdgpu and WireGuard are in-tree, Docker needs none). The Principal enabled it in the BIOS (confirmed 2026-10-13); it is a precondition in Section 22. Should pre-flight find it off, it warns, every V2 row notes the state and the to-do secure-boot stays open (no acknowledgement key exists any more; options (b) and (c) are withdrawn)</t>
        </is>
      </c>
      <c r="D19" s="11" t="inlineStr">
        <is>
          <t>Decided by the Principal: (a). R23 mitigated: the BIOS setting confirmed made on 2026-10-13; pre-flight verifies it on Day 1</t>
        </is>
      </c>
      <c r="E19" s="16" t="inlineStr">
        <is>
          <t>Confirmed</t>
        </is>
      </c>
      <c r="F19" s="17" t="n"/>
    </row>
    <row r="20">
      <c r="A20" s="12" t="inlineStr">
        <is>
          <t>D16</t>
        </is>
      </c>
      <c r="B20" s="11" t="inlineStr">
        <is>
          <t>Retrieval models (reopens D4)</t>
        </is>
      </c>
      <c r="C20" s="11" t="inlineStr">
        <is>
          <t>Qwen3.5-4B stays the router (C-01), for classification only (P-10). Qwen3-Embedding-4B and Qwen3-Reranker-4B Q8_0 replace bge-m3 and bge-reranker-v2-m3, on the CPU (D-14 option (e)), adopted before Day 1 so the empty corpus is indexed with the new embedder (D-45 option (a)), the 1024-dim schema kept by truncation (C-02, C-03), the embedder served at a 4,096-token context with -ub 2048, reduced from C-02's -ub 8192 for the D-14 (e) budget (5.3; a T-15 to-do). EmbeddingGemma 2 was phased as an optional side index, and the Principal dropped it on 2026-10-17 (D-60 option (b), S56; 15.5)</t>
        </is>
      </c>
      <c r="D20" s="11" t="inlineStr">
        <is>
          <t>Approved by the Principal on 2026-10-16 in the returned action register, as recommended (5.3, 10.1)</t>
        </is>
      </c>
      <c r="E20" s="16" t="inlineStr">
        <is>
          <t>Confirmed</t>
        </is>
      </c>
      <c r="F20" s="17" t="n"/>
    </row>
    <row r="21">
      <c r="A21" s="12" t="inlineStr">
        <is>
          <t>D17</t>
        </is>
      </c>
      <c r="B21" s="11" t="inlineStr">
        <is>
          <t>Vision engine (reopens D10)</t>
        </is>
      </c>
      <c r="C21" s="11" t="inlineStr">
        <is>
          <t>GLM-5.3-Flash with its glm5v projector on its own unit, after the re-pin (D-20 option (a)); Qwen2.5-VL-72B retired (D-21 option (a)); no light co-resident vision tier; the OCR companion phased (C-04)</t>
        </is>
      </c>
      <c r="D21" s="11" t="inlineStr">
        <is>
          <t>Approved by the Principal on 2026-10-16 in the returned action register, as recommended (5.1, 14.4, C29)</t>
        </is>
      </c>
      <c r="E21" s="16" t="inlineStr">
        <is>
          <t>Confirmed</t>
        </is>
      </c>
      <c r="F21" s="17" t="n"/>
    </row>
    <row r="22">
      <c r="A22" s="12" t="inlineStr">
        <is>
          <t>D18</t>
        </is>
      </c>
      <c r="B22" s="11" t="inlineStr">
        <is>
          <t>Medical cross-check (reopens D12)</t>
        </is>
      </c>
      <c r="C22" s="11" t="inlineStr">
        <is>
          <t>Meditron-70B retired (D-21 option (a)). Baichuan-M3-235B becomes Minerva's cross-check (D-15 option (a)), phased after Day 1 at the rung D-16 sets (since 2026-10-17, S56: mradermacher's i1-Q5_K_S with a rotated q8_0 cache at 1 × 32,768 tokens); MedGemma-27B dropped. On Day 1 Arthur on DeepSeek-V4-Flash-0731 checks her drafts (9.2)</t>
        </is>
      </c>
      <c r="D22" s="11" t="inlineStr">
        <is>
          <t>Approved by the Principal on 2026-10-16 in the returned action register, as recommended (5.1, 9.2)</t>
        </is>
      </c>
      <c r="E22" s="16" t="inlineStr">
        <is>
          <t>Confirmed</t>
        </is>
      </c>
      <c r="F22" s="17" t="n"/>
    </row>
    <row r="23">
      <c r="A23" s="12" t="inlineStr">
        <is>
          <t>D19</t>
        </is>
      </c>
      <c r="B23" s="11" t="inlineStr">
        <is>
          <t>llama.cpp pin, baseline revision and Day 1 scope</t>
        </is>
      </c>
      <c r="C23" s="11" t="inlineStr">
        <is>
          <t>Build tag b11474 (D-01 option (c)), with v0.4.1 kept for the parity test V25 (3.4); a new baseline version, v0.4.0, with D16 onward, C28 onward and S54 (D-25 option (a)); Day 1 takes the pin, the roster, the residency rule, the Arbiter's units and the Phase 3 list, and the rest is phased (D-26 option (c)), with one exception, pyannote community-1 now (C-06); the workbook builder kept in the repository beside scripts/day1/tools/fill-workbook.py (D-27 option (a))</t>
        </is>
      </c>
      <c r="D23" s="11" t="inlineStr">
        <is>
          <t>Approved by the Principal on 2026-10-16 in the returned action register, as recommended (Header, 3.4, 23)</t>
        </is>
      </c>
      <c r="E23" s="16" t="inlineStr">
        <is>
          <t>Confirmed</t>
        </is>
      </c>
      <c r="F23" s="17" t="n"/>
    </row>
    <row r="24">
      <c r="A24" s="12" t="inlineStr">
        <is>
          <t>D20</t>
        </is>
      </c>
      <c r="B24" s="11" t="inlineStr">
        <is>
          <t>Seats, quantisation and the KV cache</t>
        </is>
      </c>
      <c r="C24" s="11" t="inlineStr">
        <is>
          <t>GLM-5.3-Flash UD-IQ4_XS for the professional seats, vision and long documents, provisional until the KLD run (D-02 option (c), D-10 option (a)); DeepSeek-V4-Flash-0731 UD-Q8_K_XL for Arthur and the Apex (D-11 option (a), D-13 option (b)); gpt-oss-120b as the fast utility and fallback floor, on its F16-trunk file (D-12 option (a), D-59 option (b)); Qwen3.5-122B-A10B retired (D-21 option (a)); the Deep Think pair GLM-5.3-Flash and DeepSeek-V4-Flash-0731 (D-22 option (a)); the cache at f16 where it is cheap, q8_0 elsewhere, q4_0 nowhere, GLM's provisional until T-04 (D-29 option (a)); a fixed reasoning setting per seat, chosen after the Phase 3 quality and KLD runs (T-03, to-do kld-run), with the vendor sampling recorded in each engines.json entry (D-30 option (b)); provisional Day 1 settings: DeepSeek-V4-Flash-0731 reasoning on at high effort, gpt-oss-120b high effort; dense 70B to 123B and 3-bit-only engines excluded (D-24 option (a)) and Mistral Large 2 Uncensored rejected (D-06 option (a)); test sets for the seats with no benchmark (D-49 option (a); the set design approved on 2026-10-17, S56, and the Principal's briefs a to-do, collected once ATLAS is live from real examples, S57)</t>
        </is>
      </c>
      <c r="D24" s="11" t="inlineStr">
        <is>
          <t>Approved by the Principal on 2026-10-16 in the returned action register, as recommended; P-10 with the Principal's change and question, answered in 5.3 (5.1, 6.1, 6.2, 9.1)</t>
        </is>
      </c>
      <c r="E24" s="16" t="inlineStr">
        <is>
          <t>Confirmed</t>
        </is>
      </c>
      <c r="F24" s="17" t="n"/>
    </row>
    <row r="25">
      <c r="A25" s="12" t="inlineStr">
        <is>
          <t>D21</t>
        </is>
      </c>
      <c r="B25" s="11" t="inlineStr">
        <is>
          <t>Arbiter units and residency</t>
        </is>
      </c>
      <c r="C25" s="11" t="inlineStr">
        <is>
          <t>Exact file bytes in GiB (D-31 option (a)); one LLM seat resident at a time, the limit a setting (D-32 option (a)); GLM-5.3-Flash the default resident seat, with batching queued work by engine phased (D-23 option (a)); slot save and restore phased until T-13 (D-44 option (a)); each seat's slots and context set from the Phase 3 measurement (D-48); a Phase 4 load evicts the seat (D-50 option (a))</t>
        </is>
      </c>
      <c r="D25" s="11" t="inlineStr">
        <is>
          <t>Approved by the Principal on 2026-10-16 in the returned action register, as recommended (4.1, 4.2, 4.4, 6.3)</t>
        </is>
      </c>
      <c r="E25" s="16" t="inlineStr">
        <is>
          <t>Confirmed</t>
        </is>
      </c>
      <c r="F25" s="17" t="n"/>
    </row>
    <row r="26">
      <c r="A26" s="12" t="inlineStr">
        <is>
          <t>D22</t>
        </is>
      </c>
      <c r="B26" s="11" t="inlineStr">
        <is>
          <t>Phase 3, disk and gates</t>
        </is>
      </c>
      <c r="C26" s="11" t="inlineStr">
        <is>
          <t>V10 records decode beside the projections and fails only below a per-seat floor, with a deferrable V22 row for every newer architecture (D-33 option (c)); the floors and the deep-tier floor set by the Principal (D-47 option (b)), set on 2026-10-17 (S56): decode at 8k 25, 6, 4 and 20 tok/s for gpt-oss-120b, GLM-5.3-Flash, DeepSeek-V4-Flash-0731 and the router, judged on the slower of the 512 and 8k points (the router's at V10a, on 128 tokens after a short prompt), prefill 200, 40 and 40, a review line at 70% of the projection (a to-do: decode-review, and decode-review-router for the router), 4 tok/s the deep-tier floor, and placement checks (D-33); the kernel line kept and V3b's floor raised to the largest seat (D-36 option (c)); about 1.9 TB approved on the 8 TB drive (D-41 option (a); about 1.8 TB since S56, 15.4); only the core seats pulled in Phase 3 (D-42 option (b))</t>
        </is>
      </c>
      <c r="D26" s="11" t="inlineStr">
        <is>
          <t>Approved by the Principal on 2026-10-16 in the returned action register, as recommended (15.4, 17, 21)</t>
        </is>
      </c>
      <c r="E26" s="16" t="inlineStr">
        <is>
          <t>Confirmed</t>
        </is>
      </c>
      <c r="F26" s="17" t="n"/>
    </row>
    <row r="27">
      <c r="A27" s="12" t="inlineStr">
        <is>
          <t>D23</t>
        </is>
      </c>
      <c r="B27" s="11" t="inlineStr">
        <is>
          <t>Routing, cross-checks and fallbacks</t>
        </is>
      </c>
      <c r="C27" s="11" t="inlineStr">
        <is>
          <t>The specialist seats reached through director overrides and task-force presets, never a domain card, with no new prefix (D-37 option (a)); [ARTHUR:LONG] to GLM-5.3-Flash, the 24,000-token trigger kept until its profile is measured, and the automatic trigger taking a document only to a per-slot window no smaller than the routed engine's, so Arthur's long documents stay on DeepSeek-V4-Flash-0731's 131,072-token slot until D-48 gives GLM a longer one (D-38 option (a), 7.1); every engine that is not uncensored may serve a strong cross-check, the Apex included, batched by engine once the batching lands (D-39 option (a)); a recorded fallback per seat, gpt-oss-120b where the runner-up is phased (D-40 option (a)); deep runs only on the Principal's explicit acceptance, a classifier-chosen deep run held at the standard tier (D-43 option (a), 9.1)</t>
        </is>
      </c>
      <c r="D27" s="11" t="inlineStr">
        <is>
          <t>Approved by the Principal on 2026-10-16 in the returned action register, as recommended (6.2, 7.1, 8.4, 9.1, 9.2)</t>
        </is>
      </c>
      <c r="E27" s="16" t="inlineStr">
        <is>
          <t>Confirmed</t>
        </is>
      </c>
      <c r="F27" s="17" t="n"/>
    </row>
    <row r="28">
      <c r="A28" s="12" t="inlineStr">
        <is>
          <t>D24</t>
        </is>
      </c>
      <c r="B28" s="11" t="inlineStr">
        <is>
          <t>Specialist seats, phased after Day 1</t>
        </is>
      </c>
      <c r="C28" s="11" t="inlineStr">
        <is>
          <t>Intern-S1 for science (D-17 option (a)); Ling-3.0-flash-Fin for finance (D-18 option (a)); no dedicated coder seat: GLM-5.3-Flash codes, provisional until T-03's coding set, Qwen3-Coder-Next is not pulled and Qwen3.8-27B is dropped (D-19 option (c), answered by the Principal on 2026-10-17, S56); the medical and science seats at Q5_K_S with a rotated q8_0 cache and one 32,768-token slot, Baichuan-M3 on the imatrix i1 file and Intern-S1 text only (D-16, answered on 2026-10-17, S56); Qwen3.8-Flash-Next at UD-Q6_K_XL, or UD-Q5_K_XL if the measured budget leaves no room (D-28)</t>
        </is>
      </c>
      <c r="D28" s="11" t="inlineStr">
        <is>
          <t>Approved by the Principal on 2026-10-16 in the returned action register, as recommended; each comes in at the post-Day-1 pull (5.1)</t>
        </is>
      </c>
      <c r="E28" s="16" t="inlineStr">
        <is>
          <t>Confirmed</t>
        </is>
      </c>
      <c r="F28" s="17" t="n"/>
    </row>
    <row r="29">
      <c r="A29" s="12" t="inlineStr">
        <is>
          <t>D25</t>
        </is>
      </c>
      <c r="B29" s="11" t="inlineStr">
        <is>
          <t>Licences</t>
        </is>
      </c>
      <c r="C29" s="11" t="inlineStr">
        <is>
          <t>The Qwen Community License 1.0 (D-03 option (a)), the NVIDIA Nemotron Open Model License (D-04 option (a)) and OpenMDW-1.1 (D-05 option (a)) accepted; the rest accepted with each engine as it is approved (D-34 option (b), D-35 option (a))</t>
        </is>
      </c>
      <c r="D29" s="11" t="inlineStr">
        <is>
          <t>Accepted by the Principal on 2026-10-16 in the returned action register (16.5, 22)</t>
        </is>
      </c>
      <c r="E29" s="16" t="inlineStr">
        <is>
          <t>Confirmed</t>
        </is>
      </c>
      <c r="F29" s="17" t="n"/>
    </row>
    <row r="30">
      <c r="A30" s="12" t="inlineStr">
        <is>
          <t>D26</t>
        </is>
      </c>
      <c r="B30" s="11" t="inlineStr">
        <is>
          <t>The DeepSeek V4.1 trial and its governance, after Day 1</t>
        </is>
      </c>
      <c r="C30" s="11" t="inlineStr">
        <is>
          <t>An evaluation-only trial outside the routed roster, with 0731 kept as the Apex (D-46 option (b)); DwarfStar with antirez's Q2 file first, the Lucebox engine only if that shows promise (D-51 option (a)); an LLM engine on ROCm only inside a pinned container on the inbox driver (D-52 option (b)), with locked memory for that container alone (D-57 option (b)); its sources admitted at build time only, logged (D-53 option (b)); one trial file at a time (D-54 option (a)); of Lucebox's software only its Apache 2.0 engine, at the second stage (D-55 option (b)); lossless accelerations on routed engines, approximate ones only in scored trials (D-56)</t>
        </is>
      </c>
      <c r="D30" s="11" t="inlineStr">
        <is>
          <t>Approved by the Principal on 2026-10-16 in the returned action register, as recommended; the trial's 40-task set, its pre-registered promotion rule and the deep-tier floor approved on 2026-10-17 (S56); the Principal's TF_OMEGA situations stay a to-do (Section 22) (12.5, 15.5, 16.1, 16.3)</t>
        </is>
      </c>
      <c r="E30" s="16" t="inlineStr">
        <is>
          <t>Confirmed</t>
        </is>
      </c>
      <c r="F30" s="17" t="n"/>
    </row>
    <row r="31">
      <c r="A31" s="12" t="inlineStr">
        <is>
          <t>D27</t>
        </is>
      </c>
      <c r="B31" s="11" t="inlineStr">
        <is>
          <t>Hardware, drafters and the watch-list</t>
        </is>
      </c>
      <c r="C31" s="11" t="inlineStr">
        <is>
          <t>No discrete GPU now (D-62 option (a)); no second machine (D-63 option (a)); Lucebox's no-hardware ideas recorded on the watch-list (D-64 option (a)); the drafters kept in the disk set and decided per engine after the node speed tests, native MTP or DSpark only (D-61)</t>
        </is>
      </c>
      <c r="D31" s="11" t="inlineStr">
        <is>
          <t>Approved by the Principal on 2026-10-16 in the returned action register, as recommended (3.7, 15.4, 15.5)</t>
        </is>
      </c>
      <c r="E31" s="16" t="inlineStr">
        <is>
          <t>Confirmed</t>
        </is>
      </c>
      <c r="F31" s="17" t="n"/>
    </row>
  </sheetData>
  <autoFilter ref="A4:F31"/>
  <conditionalFormatting sqref="E5:E31">
    <cfRule type="cellIs" priority="1" operator="equal" dxfId="0">
      <formula>"Confirmed"</formula>
    </cfRule>
    <cfRule type="cellIs" priority="2" operator="equal" dxfId="1">
      <formula>"Changed my mind"</formula>
    </cfRule>
  </conditionalFormatting>
  <dataValidations count="1">
    <dataValidation sqref="E5:E31" showDropDown="0" showInputMessage="0" showErrorMessage="1" allowBlank="1" errorTitle="Invalid entry" error="Pick a value from the list." promptTitle="Choose" prompt="Pick one: Confirmed / Changed my mind" type="list" errorStyle="stop">
      <formula1>"Confirmed,Changed my mind"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52" customWidth="1" min="2" max="2"/>
    <col width="52" customWidth="1" min="3" max="3"/>
    <col width="22" customWidth="1" min="4" max="4"/>
    <col width="34" customWidth="1" min="5" max="5"/>
  </cols>
  <sheetData>
    <row r="1">
      <c r="A1" s="1" t="inlineStr">
        <is>
          <t>2 Resolutions</t>
        </is>
      </c>
    </row>
    <row r="2">
      <c r="A2" s="2" t="inlineStr">
        <is>
          <t>Section 18. C1 to C26 accepted in the workbook returned 2026-09-21; C27 (Ubuntu Server kept over Fedora 44 KDE Plasma) decided by the Principal on 2026-10-08; C28 to C30 (v0.4.0: the least-quantised rung that fits each seat alone, one vision engine on the GLM unit, one LLM seat resident at a time), superseding C23, C25 and C26, approved by the Principal on 2026-10-16 in the returned action register. Closed record; change a cell only to reopen one.</t>
        </is>
      </c>
    </row>
    <row r="4">
      <c r="A4" s="10" t="inlineStr">
        <is>
          <t>ID</t>
        </is>
      </c>
      <c r="B4" s="10" t="inlineStr">
        <is>
          <t>Contradiction or ambiguity found</t>
        </is>
      </c>
      <c r="C4" s="10" t="inlineStr">
        <is>
          <t>Resolution adopted</t>
        </is>
      </c>
      <c r="D4" s="10" t="inlineStr">
        <is>
          <t>Your response</t>
        </is>
      </c>
      <c r="E4" s="10" t="inlineStr">
        <is>
          <t>Notes</t>
        </is>
      </c>
    </row>
    <row r="5">
      <c r="A5" s="12" t="inlineStr">
        <is>
          <t>C1</t>
        </is>
      </c>
      <c r="B5" s="11" t="inlineStr">
        <is>
          <t>Backend named as llama.cpp, then Ollama, then llama-server at different points</t>
        </is>
      </c>
      <c r="C5" s="11" t="inlineStr">
        <is>
          <t>llama-server primary on Vulkan; Ollama optional. D1 confirms</t>
        </is>
      </c>
      <c r="D5" s="16" t="inlineStr">
        <is>
          <t>Accept</t>
        </is>
      </c>
      <c r="E5" s="17" t="n"/>
    </row>
    <row r="6">
      <c r="A6" s="12" t="inlineStr">
        <is>
          <t>C2</t>
        </is>
      </c>
      <c r="B6" s="11" t="inlineStr">
        <is>
          <t>Ubuntu 26.04 chosen, but Phase 4 needs ROCm PyTorch, which does not install cleanly on the 26.04 host. Out of date since v0.3.5 (S51): AMD's ROCm 10.0.0 support data lists this chip on 26.04 with the GA 7.0 kernel and the in-box driver, and 26.04's universe carries ROCm 7.1 (VERIFIED)</t>
        </is>
      </c>
      <c r="C6" s="11" t="inlineStr">
        <is>
          <t>ROCm lives inside containers; host runs Vulkan only (3.4). The resolution stands for the design's own reasons: isolation, exact pinning, and independence from Ubuntu's ROCm line (3.4, S51)</t>
        </is>
      </c>
      <c r="D6" s="16" t="inlineStr">
        <is>
          <t>Accept</t>
        </is>
      </c>
      <c r="E6" s="17" t="inlineStr">
        <is>
          <t>Reason corrected in v0.3.5 (S51, approved by the Principal 2026-10-11); the resolution stands</t>
        </is>
      </c>
    </row>
    <row r="7">
      <c r="A7" s="12" t="inlineStr">
        <is>
          <t>C3</t>
        </is>
      </c>
      <c r="B7" s="11" t="inlineStr">
        <is>
          <t>Windows 96 GB and Linux ~120 GB budgets both appeared</t>
        </is>
      </c>
      <c r="C7" s="11" t="inlineStr">
        <is>
          <t>Linux numbers are binding (4.1)</t>
        </is>
      </c>
      <c r="D7" s="16" t="inlineStr">
        <is>
          <t>Accept</t>
        </is>
      </c>
      <c r="E7" s="17" t="n"/>
    </row>
    <row r="8">
      <c r="A8" s="12" t="inlineStr">
        <is>
          <t>C4</t>
        </is>
      </c>
      <c r="B8" s="11" t="inlineStr">
        <is>
          <t>KV-cache proposal mixed shipped features with unmerged research</t>
        </is>
      </c>
      <c r="C8" s="11" t="inlineStr">
        <is>
          <t>Only shipped features adopted (4.3)</t>
        </is>
      </c>
      <c r="D8" s="16" t="inlineStr">
        <is>
          <t>Accept</t>
        </is>
      </c>
      <c r="E8" s="17" t="n"/>
    </row>
    <row r="9">
      <c r="A9" s="12" t="inlineStr">
        <is>
          <t>C5</t>
        </is>
      </c>
      <c r="B9" s="11" t="inlineStr">
        <is>
          <t>Meditron listed among PyTorch engines</t>
        </is>
      </c>
      <c r="C9" s="11" t="inlineStr">
        <is>
          <t>Runs through llama.cpp (5.1)</t>
        </is>
      </c>
      <c r="D9" s="16" t="inlineStr">
        <is>
          <t>Accept</t>
        </is>
      </c>
      <c r="E9" s="17" t="n"/>
    </row>
    <row r="10">
      <c r="A10" s="12" t="inlineStr">
        <is>
          <t>C6</t>
        </is>
      </c>
      <c r="B10" s="11" t="inlineStr">
        <is>
          <t>Arthur's override bound to the abliterated engine "for legal dissection"</t>
        </is>
      </c>
      <c r="C10" s="11" t="inlineStr">
        <is>
          <t>Override is Qwen3.5 (6.1). *v0.4.0:* that override is now GLM-5.3-Flash, since Qwen3.5-122B-A10B left the roster (6.1)</t>
        </is>
      </c>
      <c r="D10" s="16" t="inlineStr">
        <is>
          <t>Accept</t>
        </is>
      </c>
      <c r="E10" s="17" t="inlineStr">
        <is>
          <t>Override restated in v0.4.0 (GLM-5.3-Flash replaces the retired Qwen3.5-122B-A10B); the addendum is unchanged</t>
        </is>
      </c>
    </row>
    <row r="11">
      <c r="A11" s="12" t="inlineStr">
        <is>
          <t>C7</t>
        </is>
      </c>
      <c r="B11" s="11" t="inlineStr">
        <is>
          <t>Gideon and Minerva bound to the abliterated engine "for zero-hallucination"</t>
        </is>
      </c>
      <c r="C11" s="11" t="inlineStr">
        <is>
          <t>Standard engine, retrieval-grounded (6.2)</t>
        </is>
      </c>
      <c r="D11" s="16" t="inlineStr">
        <is>
          <t>Accept</t>
        </is>
      </c>
      <c r="E11" s="17" t="n"/>
    </row>
    <row r="12">
      <c r="A12" s="12" t="inlineStr">
        <is>
          <t>C8</t>
        </is>
      </c>
      <c r="B12" s="11" t="inlineStr">
        <is>
          <t>Router described as an Open WebUI pipeline</t>
        </is>
      </c>
      <c r="C12" s="11" t="inlineStr">
        <is>
          <t>Lives in the orchestrator; Filter is a relay (7.1)</t>
        </is>
      </c>
      <c r="D12" s="16" t="inlineStr">
        <is>
          <t>Accept</t>
        </is>
      </c>
      <c r="E12" s="17" t="n"/>
    </row>
    <row r="13">
      <c r="A13" s="12" t="inlineStr">
        <is>
          <t>C9</t>
        </is>
      </c>
      <c r="B13" s="11" t="inlineStr">
        <is>
          <t>Domain 27 phrased as "memetic warfare" and "sentiment manipulation"</t>
        </is>
      </c>
      <c r="C13" s="11" t="inlineStr">
        <is>
          <t>Retained under Helena with phrasing softened to legitimate growth and attribution work</t>
        </is>
      </c>
      <c r="D13" s="16" t="inlineStr">
        <is>
          <t>Accept</t>
        </is>
      </c>
      <c r="E13" s="17" t="n"/>
    </row>
    <row r="14">
      <c r="A14" s="12" t="inlineStr">
        <is>
          <t>C10</t>
        </is>
      </c>
      <c r="B14" s="11" t="inlineStr">
        <is>
          <t>Domain profiles' "Stateless MRTR, dispatch and decouple" removes the approval gate</t>
        </is>
      </c>
      <c r="C14" s="11" t="inlineStr">
        <is>
          <t>Isolated-context dispatch with tracked completion (8.6)</t>
        </is>
      </c>
      <c r="D14" s="16" t="inlineStr">
        <is>
          <t>Accept</t>
        </is>
      </c>
      <c r="E14" s="17" t="n"/>
    </row>
    <row r="15">
      <c r="A15" s="12" t="inlineStr">
        <is>
          <t>C11</t>
        </is>
      </c>
      <c r="B15" s="11" t="inlineStr">
        <is>
          <t>Sentinel described as a WSL2 cron job</t>
        </is>
      </c>
      <c r="C15" s="11" t="inlineStr">
        <is>
          <t>systemd timer; there is no WSL (9.3)</t>
        </is>
      </c>
      <c r="D15" s="16" t="inlineStr">
        <is>
          <t>Accept</t>
        </is>
      </c>
      <c r="E15" s="17" t="n"/>
    </row>
    <row r="16">
      <c r="A16" s="12" t="inlineStr">
        <is>
          <t>C12</t>
        </is>
      </c>
      <c r="B16" s="11" t="inlineStr">
        <is>
          <t>Sentinel fed to Ren</t>
        </is>
      </c>
      <c r="C16" s="11" t="inlineStr">
        <is>
          <t>Alaric and Silas under Arthur (9.3)</t>
        </is>
      </c>
      <c r="D16" s="16" t="inlineStr">
        <is>
          <t>Accept</t>
        </is>
      </c>
      <c r="E16" s="17" t="n"/>
    </row>
    <row r="17">
      <c r="A17" s="12" t="inlineStr">
        <is>
          <t>C13</t>
        </is>
      </c>
      <c r="B17" s="11" t="inlineStr">
        <is>
          <t>AEGIS described as a single zip</t>
        </is>
      </c>
      <c r="C17" s="11" t="inlineStr">
        <is>
          <t>restic (9.5)</t>
        </is>
      </c>
      <c r="D17" s="16" t="inlineStr">
        <is>
          <t>Accept</t>
        </is>
      </c>
      <c r="E17" s="17" t="n"/>
    </row>
    <row r="18">
      <c r="A18" s="12" t="inlineStr">
        <is>
          <t>C14</t>
        </is>
      </c>
      <c r="B18" s="11" t="inlineStr">
        <is>
          <t>AEGIS destination on the same drive</t>
        </is>
      </c>
      <c r="C18" s="11" t="inlineStr">
        <is>
          <t>Second drive plus optional external (9.5)</t>
        </is>
      </c>
      <c r="D18" s="16" t="inlineStr">
        <is>
          <t>Accept</t>
        </is>
      </c>
      <c r="E18" s="17" t="n"/>
    </row>
    <row r="19">
      <c r="A19" s="12" t="inlineStr">
        <is>
          <t>C15</t>
        </is>
      </c>
      <c r="B19" s="11" t="inlineStr">
        <is>
          <t>Celery framed as freeing "a background hardware thread" for a backtest that may call an LLM</t>
        </is>
      </c>
      <c r="C19" s="11" t="inlineStr">
        <is>
          <t>CPU work decouples; GPU calls still serialise (9.7)</t>
        </is>
      </c>
      <c r="D19" s="16" t="inlineStr">
        <is>
          <t>Accept</t>
        </is>
      </c>
      <c r="E19" s="17" t="n"/>
    </row>
    <row r="20">
      <c r="A20" s="12" t="inlineStr">
        <is>
          <t>C16</t>
        </is>
      </c>
      <c r="B20" s="11" t="inlineStr">
        <is>
          <t>Estate memory inside the vault versus the vault as on-demand top-secret storage</t>
        </is>
      </c>
      <c r="C20" s="11" t="inlineStr">
        <is>
          <t>Estate memory on the LUKS volume; vault content never persisted (10.5)</t>
        </is>
      </c>
      <c r="D20" s="16" t="inlineStr">
        <is>
          <t>Accept</t>
        </is>
      </c>
      <c r="E20" s="17" t="n"/>
    </row>
    <row r="21">
      <c r="A21" s="12" t="inlineStr">
        <is>
          <t>C17</t>
        </is>
      </c>
      <c r="B21" s="11" t="inlineStr">
        <is>
          <t>Four engine names that do not exist</t>
        </is>
      </c>
      <c r="C21" s="11" t="inlineStr">
        <is>
          <t>Real replacements (15.3)</t>
        </is>
      </c>
      <c r="D21" s="16" t="inlineStr">
        <is>
          <t>Accept</t>
        </is>
      </c>
      <c r="E21" s="17" t="n"/>
    </row>
    <row r="22">
      <c r="A22" s="12" t="inlineStr">
        <is>
          <t>C18</t>
        </is>
      </c>
      <c r="B22" s="11" t="inlineStr">
        <is>
          <t>"Vector Cortex replaces chat logs" versus Open WebUI's own database</t>
        </is>
      </c>
      <c r="C22" s="11" t="inlineStr">
        <is>
          <t>Supplements; retention rule under D9 (10.4)</t>
        </is>
      </c>
      <c r="D22" s="16" t="inlineStr">
        <is>
          <t>Accept</t>
        </is>
      </c>
      <c r="E22" s="17" t="n"/>
    </row>
    <row r="23">
      <c r="A23" s="12" t="inlineStr">
        <is>
          <t>C19</t>
        </is>
      </c>
      <c r="B23" s="11" t="inlineStr">
        <is>
          <t>Desktop recommended for a Linux novice, then Server chosen, then the Principal required a graphics interface</t>
        </is>
      </c>
      <c r="C23" s="11" t="inlineStr">
        <is>
          <t>Reopened and re-decided: Server 26.04.1 plus XFCE and xrdp, not the full Desktop image; Cockpit retained (3.1)</t>
        </is>
      </c>
      <c r="D23" s="16" t="inlineStr">
        <is>
          <t>Accept</t>
        </is>
      </c>
      <c r="E23" s="17" t="n"/>
    </row>
    <row r="24">
      <c r="A24" s="12" t="inlineStr">
        <is>
          <t>C20</t>
        </is>
      </c>
      <c r="B24" s="11" t="inlineStr">
        <is>
          <t>Fish Audio requested, then excluded as non-local and research-licensed</t>
        </is>
      </c>
      <c r="C24" s="11" t="inlineStr">
        <is>
          <t>Kokoro plus Chatterbox (14.1)</t>
        </is>
      </c>
      <c r="D24" s="16" t="inlineStr">
        <is>
          <t>Accept</t>
        </is>
      </c>
      <c r="E24" s="17" t="n"/>
    </row>
    <row r="25">
      <c r="A25" s="12" t="inlineStr">
        <is>
          <t>C21</t>
        </is>
      </c>
      <c r="B25" s="11" t="inlineStr">
        <is>
          <t>Ubuntu 24.04.5 versus 26.04.1 left open</t>
        </is>
      </c>
      <c r="C25" s="11" t="inlineStr">
        <is>
          <t>26.04.1. 24.04.5 brings the 7.0 kernel through HWE but stays on Mesa 25.2.8, so hardware support is close, not identical; 26.04.1 wins on support life (May 2031 against May 2029), graphics stack and toolchain (3.1; corrected in v0.3.4, S37)</t>
        </is>
      </c>
      <c r="D25" s="16" t="inlineStr">
        <is>
          <t>Accept</t>
        </is>
      </c>
      <c r="E25" s="17" t="n"/>
    </row>
    <row r="26">
      <c r="A26" s="12" t="inlineStr">
        <is>
          <t>C22</t>
        </is>
      </c>
      <c r="B26" s="11" t="inlineStr">
        <is>
          <t>Whether to adopt the amd64v3 or amd64v4 optimised archives</t>
        </is>
      </c>
      <c r="C26" s="11" t="inlineStr">
        <is>
          <t>Neither. The gain is on CPU-bound distribution packages, not GPU inference (3.1)</t>
        </is>
      </c>
      <c r="D26" s="16" t="inlineStr">
        <is>
          <t>Accept</t>
        </is>
      </c>
      <c r="E26" s="17" t="n"/>
    </row>
    <row r="27">
      <c r="A27" s="12" t="inlineStr">
        <is>
          <t>C23</t>
        </is>
      </c>
      <c r="B27" s="11" t="inlineStr">
        <is>
          <t>Everything quantised to 4-bit under a 128 GB constraint that no longer exists</t>
        </is>
      </c>
      <c r="C27" s="11" t="inlineStr">
        <is>
          <t>Q8_0 for Nemotron, Qwen3.5, Qwen2.5-VL-72B and Meditron; MXFP4 retained for gpt-oss as its native form; Q4_K_XL for the Apex engine (5.1). Superseded by C28 in v0.4.0</t>
        </is>
      </c>
      <c r="D27" s="16" t="inlineStr">
        <is>
          <t>Accept</t>
        </is>
      </c>
      <c r="E27" s="17" t="inlineStr">
        <is>
          <t>Superseded by C28 in v0.4.0 (approved by the Principal 2026-10-16 in the returned action register); kept as the record</t>
        </is>
      </c>
    </row>
    <row r="28">
      <c r="A28" s="12" t="inlineStr">
        <is>
          <t>C24</t>
        </is>
      </c>
      <c r="B28" s="11" t="inlineStr">
        <is>
          <t>Two domains held in reserve pending a stated need (old D5)</t>
        </is>
      </c>
      <c r="C28" s="11" t="inlineStr">
        <is>
          <t>Reserve closed. Six new domains, five subspecialty folds (8.2)</t>
        </is>
      </c>
      <c r="D28" s="16" t="inlineStr">
        <is>
          <t>Accept</t>
        </is>
      </c>
      <c r="E28" s="17" t="n"/>
    </row>
    <row r="29">
      <c r="A29" s="12" t="inlineStr">
        <is>
          <t>C25</t>
        </is>
      </c>
      <c r="B29" s="11" t="inlineStr">
        <is>
          <t>Vision split across GLM-4.6V-Flash, Qwen2.5-VL-7B and a 32B that v0.1 wrongly said did not exist</t>
        </is>
      </c>
      <c r="C29" s="11" t="inlineStr">
        <is>
          <t>One engine: Qwen2.5-VL-72B at Q8_0. The 32B is real and official, but the Principal chose maximum quality (15.2). Superseded by C29 in v0.4.0</t>
        </is>
      </c>
      <c r="D29" s="16" t="inlineStr">
        <is>
          <t>Accept</t>
        </is>
      </c>
      <c r="E29" s="17" t="inlineStr">
        <is>
          <t>Superseded by C29 in v0.4.0 (approved by the Principal 2026-10-16 in the returned action register); kept as the record</t>
        </is>
      </c>
    </row>
    <row r="30">
      <c r="A30" s="12" t="inlineStr">
        <is>
          <t>C26</t>
        </is>
      </c>
      <c r="B30" s="11" t="inlineStr">
        <is>
          <t>"Two engines at once" ambiguous between residency and generation</t>
        </is>
      </c>
      <c r="C30" s="11" t="inlineStr">
        <is>
          <t>Two may be resident; exactly one generates, everywhere, including Celery jobs (4.2). Superseded by C30 in v0.4.0</t>
        </is>
      </c>
      <c r="D30" s="16" t="inlineStr">
        <is>
          <t>Accept</t>
        </is>
      </c>
      <c r="E30" s="17" t="inlineStr">
        <is>
          <t>Superseded by C30 in v0.4.0 (approved by the Principal 2026-10-16 in the returned action register); kept as the record</t>
        </is>
      </c>
    </row>
    <row r="31">
      <c r="A31" s="12" t="inlineStr">
        <is>
          <t>C27</t>
        </is>
      </c>
      <c r="B31" s="11" t="inlineStr">
        <is>
          <t>Ubuntu Server 26.04.1 versus Fedora 44 KDE Plasma, raised by the Principal on 2026-10-07</t>
        </is>
      </c>
      <c r="C31" s="11" t="inlineStr">
        <is>
          <t>Ubuntu Server 26.04.1, re-confirmed 2026-10-08: five years without a major upgrade, a fixed kernel series, a dependable Remote Desktop login without autologin, AMD's vendor support for the chip, and no rewrite of the reviewed scripts (3.1). New in v0.3.4</t>
        </is>
      </c>
      <c r="D31" s="16" t="inlineStr">
        <is>
          <t>Accept</t>
        </is>
      </c>
      <c r="E31" s="17" t="n"/>
    </row>
    <row r="32">
      <c r="A32" s="12" t="inlineStr">
        <is>
          <t>C28</t>
        </is>
      </c>
      <c r="B32" s="11" t="inlineStr">
        <is>
          <t>C23's rule (the highest quantisation that leaves working headroom) sized files for a co-resident partner and kept DeepSeek-V4-Flash-0731 at UD-Q4_K_XL on a misread size; the Principal's directives of 2026-10-15 put result quality first</t>
        </is>
      </c>
      <c r="C32" s="11" t="inlineStr">
        <is>
          <t>Supersedes C23 (v0.4.0, approved by the Principal on 2026-10-16 in the returned action register; D-11 (a), D-29 (a), D-59 (b)). Each seat runs the least-quantised rung that fits it alone, with its measured quality cost stated: DeepSeek-V4-Flash-0731 at UD-Q8_K_XL (bit-exact), GLM-5.3-Flash at UD-IQ4_XS (the one lossy rung, provisional until T-03), gpt-oss-120b with an F16 trunk and its native MXFP4 experts; the KV cache at f16 where it is cheap, q8_0 elsewhere and q4_0 nowhere, the abliterated entry unchanged (Section 1, 4.3, 5.1)</t>
        </is>
      </c>
      <c r="D32" s="16" t="inlineStr">
        <is>
          <t>Accept</t>
        </is>
      </c>
      <c r="E32" s="17" t="inlineStr">
        <is>
          <t>New in v0.4.0, approved by the Principal 2026-10-16 in the returned action register (D-11 (a), D-29 (a), D-59 (b))</t>
        </is>
      </c>
    </row>
    <row r="33">
      <c r="A33" s="12" t="inlineStr">
        <is>
          <t>C29</t>
        </is>
      </c>
      <c r="B33" s="11" t="inlineStr">
        <is>
          <t>C25 made Qwen2.5-VL-72B at Q8_0 the one vision engine; with one LLM seat resident, a separate 79 GB vision engine would cost a swap for every image</t>
        </is>
      </c>
      <c r="C33" s="11" t="inlineStr">
        <is>
          <t>Supersedes C25 (v0.4.0, approved by the Principal on 2026-10-16 in the returned action register; D-20 (a), D-21 (a)). Still one vision engine: GLM-5.3-Flash with its glm5v projector on its own unit, so a look costs no swap while GLM is resident. Qwen2.5-VL-72B is retired. The phased OCR companion transcribes and does not reason, so it is not a second vision engine (5.1, 14.4, 15.2)</t>
        </is>
      </c>
      <c r="D33" s="16" t="inlineStr">
        <is>
          <t>Accept</t>
        </is>
      </c>
      <c r="E33" s="17" t="inlineStr">
        <is>
          <t>New in v0.4.0, approved by the Principal 2026-10-16 in the returned action register (D-20 (a), D-21 (a))</t>
        </is>
      </c>
    </row>
    <row r="34">
      <c r="A34" s="12" t="inlineStr">
        <is>
          <t>C30</t>
        </is>
      </c>
      <c r="B34" s="11" t="inlineStr">
        <is>
          <t>C26 read "two engines at once" as two resident and one generating; the two large Day 1 seats hold 147 to 151 GiB of weights each, so neither fits beside any other seat, and one seat at a time is made the rule for every seat</t>
        </is>
      </c>
      <c r="C34" s="11" t="inlineStr">
        <is>
          <t>Supersedes C26 (v0.4.0, approved by the Principal on 2026-10-16 in the returned action register; D-32 (a)). One LLM seat is resident at a time, and exactly one generation runs, everywhere, Celery jobs included. The limit is the setting ATLAS_ARBITER_MAX_RESIDENT (default 1, range 1 to 2), so two-seat residency can return without a code change; the companions, Chatterbox and the Phase 4 engines are not seats (4.2 rules 3 and 7)</t>
        </is>
      </c>
      <c r="D34" s="16" t="inlineStr">
        <is>
          <t>Accept</t>
        </is>
      </c>
      <c r="E34" s="17" t="inlineStr">
        <is>
          <t>New in v0.4.0, approved by the Principal 2026-10-16 in the returned action register (D-32 (a))</t>
        </is>
      </c>
    </row>
  </sheetData>
  <autoFilter ref="A4:E34"/>
  <conditionalFormatting sqref="D5:D34">
    <cfRule type="cellIs" priority="1" operator="equal" dxfId="0">
      <formula>"Accept"</formula>
    </cfRule>
    <cfRule type="cellIs" priority="2" operator="equal" dxfId="1">
      <formula>"Disagree - return to decisions"</formula>
    </cfRule>
  </conditionalFormatting>
  <dataValidations count="1">
    <dataValidation sqref="D5:D34" showDropDown="0" showInputMessage="0" showErrorMessage="1" allowBlank="1" errorTitle="Invalid entry" error="Pick a value from the list." promptTitle="Choose" prompt="Pick one: Accept / Disagree - return to decisions" type="list" errorStyle="stop">
      <formula1>"Accept,Disagree - return to decisions"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18" customWidth="1" min="3" max="3"/>
    <col width="22" customWidth="1" min="4" max="4"/>
    <col width="52" customWidth="1" min="5" max="5"/>
    <col width="18" customWidth="1" min="6" max="6"/>
    <col width="28" customWidth="1" min="7" max="7"/>
  </cols>
  <sheetData>
    <row r="1">
      <c r="A1" s="1" t="inlineStr">
        <is>
          <t>3 Risks</t>
        </is>
      </c>
    </row>
    <row r="2">
      <c r="A2" s="2" t="inlineStr">
        <is>
          <t>Section 20. R1 to R21 acknowledged in the workbook returned 2026-09-21; R22 and R23 (v0.3.2) and R24 and R25 (v0.3.4: the xrdp exposure and the unattended-reboot gap) acknowledged by the Principal on 2026-10-08. R23 is mitigated by D15 (Secure Boot enabled; the BIOS setting confirmed made on 2026-10-13). R26 to R28 (v0.3.5, S53, 2026-10-12: the ledger's 30-day purge not yet wired into the sweep, Chroma 1.5.9's soft deletes, and the once-silent failed sweep, now pushed to the phone) acknowledged by the Principal on 2026-10-13. R29 to R33 (v0.4.0, S-47: the re-pin, GLM-5.3-Flash's lossy rung, swap and re-prefill latency, the companions' share of the engine budget, the phased DeepSeek V4.1 trial engine) and R4, R17, R19 and R20 as restated in v0.4.0 acknowledged by the Principal on 2026-10-17 (S55). Later that day (S56) R9 (applicable, the node moving to the cable on its 10 GbE port) and R20 (lowered to Low) were restated with B-27 and R33's mitigation amended with D-47, both approved by the Principal with the other open-input recommendations.</t>
        </is>
      </c>
    </row>
    <row r="4">
      <c r="A4" s="10" t="inlineStr">
        <is>
          <t>ID</t>
        </is>
      </c>
      <c r="B4" s="10" t="inlineStr">
        <is>
          <t>Risk</t>
        </is>
      </c>
      <c r="C4" s="10" t="inlineStr">
        <is>
          <t>Likelihood</t>
        </is>
      </c>
      <c r="D4" s="10" t="inlineStr">
        <is>
          <t>Impact</t>
        </is>
      </c>
      <c r="E4" s="10" t="inlineStr">
        <is>
          <t>Mitigation</t>
        </is>
      </c>
      <c r="F4" s="10" t="inlineStr">
        <is>
          <t>Acknowledged</t>
        </is>
      </c>
      <c r="G4" s="10" t="inlineStr">
        <is>
          <t>Notes</t>
        </is>
      </c>
    </row>
    <row r="5">
      <c r="A5" s="12" t="inlineStr">
        <is>
          <t>R1</t>
        </is>
      </c>
      <c r="B5" s="11" t="inlineStr">
        <is>
          <t>PyTorch on gfx1151 fails in Phase 4. As first written: no official gfx1151 wheel, and the community wheel may break on update. Amended (S15, S51): AMD now publishes the wheels (ROCm 10.0.0, torch 2.13.0); what remains is the open hang report #6530 (3.4); S51 pinned torchaudio, the one package that could have pulled a build for another ROCm version into the image</t>
        </is>
      </c>
      <c r="C5" s="11" t="inlineStr">
        <is>
          <t>High</t>
        </is>
      </c>
      <c r="D5" s="11" t="inlineStr">
        <is>
          <t>High for Phase 4, none for the LLM layer</t>
        </is>
      </c>
      <c r="E5" s="11" t="inlineStr">
        <is>
          <t>Pin versions (every package the Dockerfile names from AMD's index, torchaudio included since S51), per-engine pass/fail, containerised so the host is untouched</t>
        </is>
      </c>
      <c r="F5" s="16" t="inlineStr">
        <is>
          <t>Yes</t>
        </is>
      </c>
      <c r="G5" s="17" t="inlineStr">
        <is>
          <t>Amended in v0.3.5 (S51, approved by the Principal 2026-10-11): wheel and hang-report facts corrected</t>
        </is>
      </c>
    </row>
    <row r="6">
      <c r="A6" s="12" t="inlineStr">
        <is>
          <t>R2</t>
        </is>
      </c>
      <c r="B6" s="11" t="inlineStr">
        <is>
          <t>Ollama's Vulkan path immature on 26.04</t>
        </is>
      </c>
      <c r="C6" s="11" t="inlineStr">
        <is>
          <t>Medium</t>
        </is>
      </c>
      <c r="D6" s="11" t="inlineStr">
        <is>
          <t>High if chosen</t>
        </is>
      </c>
      <c r="E6" s="11" t="inlineStr">
        <is>
          <t>D1: llama-server primary</t>
        </is>
      </c>
      <c r="F6" s="16" t="inlineStr">
        <is>
          <t>Yes</t>
        </is>
      </c>
      <c r="G6" s="17" t="n"/>
    </row>
    <row r="7">
      <c r="A7" s="12" t="inlineStr">
        <is>
          <t>R3</t>
        </is>
      </c>
      <c r="B7" s="11" t="inlineStr">
        <is>
          <t>ROCm 7.2.x does not install on the 26.04 host kernel. Amended in v0.3.5 (S51): out of date, since AMD's ROCm 10.0.0 support data lists this chip on 26.04 with the GA 7.0 kernel and the in-box driver, and 26.04's universe carries ROCm 7.1 (VERIFIED)</t>
        </is>
      </c>
      <c r="C7" s="11" t="inlineStr">
        <is>
          <t>Low since S51 (was Certain)</t>
        </is>
      </c>
      <c r="D7" s="11" t="inlineStr">
        <is>
          <t>Medium</t>
        </is>
      </c>
      <c r="E7" s="11" t="inlineStr">
        <is>
          <t>Never install ROCm on the host, containers only (3.4), now for isolation, exact pinning and independence from Ubuntu's ROCm line</t>
        </is>
      </c>
      <c r="F7" s="16" t="inlineStr">
        <is>
          <t>Yes</t>
        </is>
      </c>
      <c r="G7" s="17" t="inlineStr">
        <is>
          <t>Amended in v0.3.5 (S51, approved by the Principal 2026-10-11): out of date, likelihood lowered from Certain to Low</t>
        </is>
      </c>
    </row>
    <row r="8">
      <c r="A8" s="12" t="inlineStr">
        <is>
          <t>R4</t>
        </is>
      </c>
      <c r="B8" s="11" t="inlineStr">
        <is>
          <t>KV quantisation silently falls back to full precision on an unsupported architecture. *Restated in v0.4.0 (S-48):* GLM-5.3-Flash and DeepSeek-V4-Flash-0731 run an f16 cache (D-29 option (a)), so on Day 1 only gpt-oss-120b, the router and the CPU pair, and the unchanged abliterated entry (q4_0, as in v0.3.5), run a quantised one. GLM may need flash attention off on Vulkan (T-04), which would rule out a quantised V cache for it. Each architecture prints its own number of KV proof lines (two on GLM, its attention and indexer caches), and a phased engine's count is set at its pull. The restatement was acknowledged by the Principal on 2026-10-17.</t>
        </is>
      </c>
      <c r="C8" s="11" t="inlineStr">
        <is>
          <t>Medium</t>
        </is>
      </c>
      <c r="D8" s="11" t="inlineStr">
        <is>
          <t>High, unexpected OOM</t>
        </is>
      </c>
      <c r="E8" s="11" t="inlineStr">
        <is>
          <t>V4 per-model check, on every proof line an engine prints (kv_proof_lines)</t>
        </is>
      </c>
      <c r="F8" s="16" t="inlineStr">
        <is>
          <t>Yes</t>
        </is>
      </c>
      <c r="G8" s="17" t="inlineStr">
        <is>
          <t>Restated in v0.4.0 (S-48, 2026-10-16); acknowledged 2026-10-17</t>
        </is>
      </c>
    </row>
    <row r="9">
      <c r="A9" s="12" t="inlineStr">
        <is>
          <t>R5</t>
        </is>
      </c>
      <c r="B9" s="11" t="inlineStr">
        <is>
          <t>A second engine loads before the first releases memory, node crashes</t>
        </is>
      </c>
      <c r="C9" s="11" t="inlineStr">
        <is>
          <t>Medium without an arbiter</t>
        </is>
      </c>
      <c r="D9" s="11" t="inlineStr">
        <is>
          <t>High</t>
        </is>
      </c>
      <c r="E9" s="11" t="inlineStr">
        <is>
          <t>Engine Arbiter polls GPU memory before every load (4.2)</t>
        </is>
      </c>
      <c r="F9" s="16" t="inlineStr">
        <is>
          <t>Yes</t>
        </is>
      </c>
      <c r="G9" s="17" t="n"/>
    </row>
    <row r="10">
      <c r="A10" s="12" t="inlineStr">
        <is>
          <t>R6</t>
        </is>
      </c>
      <c r="B10" s="11" t="inlineStr">
        <is>
          <t>GraphRAG indexing is LLM-heavy and slow here</t>
        </is>
      </c>
      <c r="C10" s="11" t="inlineStr">
        <is>
          <t>High</t>
        </is>
      </c>
      <c r="D10" s="11" t="inlineStr">
        <is>
          <t>Medium</t>
        </is>
      </c>
      <c r="E10" s="11" t="inlineStr">
        <is>
          <t>Idle-time Celery job on the resident small model, D7 LightRAG</t>
        </is>
      </c>
      <c r="F10" s="16" t="inlineStr">
        <is>
          <t>Yes</t>
        </is>
      </c>
      <c r="G10" s="17" t="n"/>
    </row>
    <row r="11">
      <c r="A11" s="12" t="inlineStr">
        <is>
          <t>R7</t>
        </is>
      </c>
      <c r="B11" s="11" t="inlineStr">
        <is>
          <t>Cloudflare token in a plain-text file</t>
        </is>
      </c>
      <c r="C11" s="11" t="inlineStr">
        <is>
          <t>Certain today</t>
        </is>
      </c>
      <c r="D11" s="11" t="inlineStr">
        <is>
          <t>High</t>
        </is>
      </c>
      <c r="E11" s="11" t="inlineStr">
        <is>
          <t>Scoped token, mode 600, outside backups and repo (12.3)</t>
        </is>
      </c>
      <c r="F11" s="16" t="inlineStr">
        <is>
          <t>Yes</t>
        </is>
      </c>
      <c r="G11" s="17" t="n"/>
    </row>
    <row r="12">
      <c r="A12" s="12" t="inlineStr">
        <is>
          <t>R8</t>
        </is>
      </c>
      <c r="B12" s="11" t="inlineStr">
        <is>
          <t>Open WebUI phones home by default</t>
        </is>
      </c>
      <c r="C12" s="11" t="inlineStr">
        <is>
          <t>Certain unless hardened</t>
        </is>
      </c>
      <c r="D12" s="11" t="inlineStr">
        <is>
          <t>High for the zero-cloud rule</t>
        </is>
      </c>
      <c r="E12" s="11" t="inlineStr">
        <is>
          <t>Offline hardening in Phase 2 (12.1)</t>
        </is>
      </c>
      <c r="F12" s="16" t="inlineStr">
        <is>
          <t>Yes</t>
        </is>
      </c>
      <c r="G12" s="17" t="n"/>
    </row>
    <row r="13">
      <c r="A13" s="12" t="inlineStr">
        <is>
          <t>R9</t>
        </is>
      </c>
      <c r="B13" s="11" t="inlineStr">
        <is>
          <t>10GbE driver unavailable. *Restated in S56 (B-27, approved by the Principal on 2026-10-17): applicable,* since the node moves to the cable on its 10 GbE port not marked DASH. With it: a DASH-enabled port would expose an out-of-band management path on the LAN that ufw does not see (INFERRED), and Wi-Fi left on the LAN subnet can make the interface-bound DNS, ufw and DOCKER-USER rules drop traffic</t>
        </is>
      </c>
      <c r="C13" s="11" t="inlineStr">
        <is>
          <t>Low (was Not applicable): kernel 7.0's r8169 carries the RTL8127A family and handles its DASH variant, and linux-firmware ships rtl_nic/rtl8127a-1.fw (VERIFIED)</t>
        </is>
      </c>
      <c r="D13" s="11" t="inlineStr">
        <is>
          <t>Medium (was None): no LAN until Wi-Fi is set back as LAN_IFACE and Phase 1 step 4 is re-run</t>
        </is>
      </c>
      <c r="E13" s="11" t="inlineStr">
        <is>
          <t>Pre-flight notes the driver and MAC and warns, never stops, on the controller the driver treats as the DASH part, on Wi-Fi as LAN_IFACE and on a second interface on the LAN subnet; V1 records the driver and link speed and stays informational; the non-DASH port, with DASH left off; Wi-Fi taken off the LAN subnet (Section 22)</t>
        </is>
      </c>
      <c r="F13" s="16" t="inlineStr">
        <is>
          <t>Yes</t>
        </is>
      </c>
      <c r="G13" s="17" t="inlineStr">
        <is>
          <t>Restated in S56 (B-27, approved by the Principal 2026-10-17): applicable with the cable</t>
        </is>
      </c>
    </row>
    <row r="14">
      <c r="A14" s="12" t="inlineStr">
        <is>
          <t>R19</t>
        </is>
      </c>
      <c r="B14" s="11" t="inlineStr">
        <is>
          <t>DeepSeek V4 Flash llama.cpp support is newer than the other engines. *Generalised in v0.4.0 (S-26, S-47):* every engine whose support is newer than the rest; on Day 1 the Apex, DeepSeek-V4-Flash-0731, and GLM-5.3-Flash (glm5-next, first in b11279); at its pull Qwen3.8-Flash-Next (qwen4exp). The restatement was acknowledged by the Principal on 2026-10-17.</t>
        </is>
      </c>
      <c r="C14" s="11" t="inlineStr">
        <is>
          <t>Medium</t>
        </is>
      </c>
      <c r="D14" s="11" t="inlineStr">
        <is>
          <t>Medium for the Apex; high for GLM-5.3-Flash, which carries seven seats, vision and long documents</t>
        </is>
      </c>
      <c r="E14" s="11" t="inlineStr">
        <is>
          <t>Its own V22 row in the Phase 3 gate; a failure defers the engine without blocking the phase or the other engines, and its seats move to their recorded fallbacks by the Principal's decision (6.2, D-40)</t>
        </is>
      </c>
      <c r="F14" s="16" t="inlineStr">
        <is>
          <t>Yes</t>
        </is>
      </c>
      <c r="G14" s="17" t="inlineStr">
        <is>
          <t>Restated in v0.4.0 (S-26, S-47, 2026-10-16); acknowledged 2026-10-17</t>
        </is>
      </c>
    </row>
    <row r="15">
      <c r="A15" s="12" t="inlineStr">
        <is>
          <t>R20</t>
        </is>
      </c>
      <c r="B15" s="11" t="inlineStr">
        <is>
          <t>Wi-Fi throughput and stability over a ~690 GB download. *Restated in v0.4.0 (S-34):* about 448 GB in Phase 3 (D-42 option (b)), about 842 GB of phased engines in a later pull, about 1.9 TB in all (D-41 option (a)). The restatement was acknowledged by the Principal on 2026-10-17. *Restated again in S56 (B-27, approved by the Principal on 2026-10-17):* the node is on the cable, so Wi-Fi no longer applies. What remains is the rate one download stream gets from Hugging Face's CDN to Australia, unmeasured: 400 Mbps planned (about 2.5 hours for the 448 GB), about 5 hours at 200 Mbps; about 757 GB of phased engines, about 1.8 TB in all</t>
        </is>
      </c>
      <c r="C15" s="11" t="inlineStr">
        <is>
          <t>Low (was Medium)</t>
        </is>
      </c>
      <c r="D15" s="11" t="inlineStr">
        <is>
          <t>Low, time only</t>
        </is>
      </c>
      <c r="E15" s="11" t="inlineStr">
        <is>
          <t>Phases 3 and 4 detached and resumable; retries are free; only the core seats are pulled before Day 1's tests; the optional 60-second single-stream test sets DOWNLOAD_MBPS; parallel shard downloads (ATLAS_PULL_JOBS) for the phased pull after a short test</t>
        </is>
      </c>
      <c r="F15" s="16" t="inlineStr">
        <is>
          <t>Yes</t>
        </is>
      </c>
      <c r="G15" s="17" t="inlineStr">
        <is>
          <t>Restated in v0.4.0 (S-34, 2026-10-16); acknowledged 2026-10-17; restated again in S56 (B-27, approved by the Principal 2026-10-17): lowered to Low</t>
        </is>
      </c>
    </row>
    <row r="16">
      <c r="A16" s="12" t="inlineStr">
        <is>
          <t>R21</t>
        </is>
      </c>
      <c r="B16" s="11" t="inlineStr">
        <is>
          <t>XFCE and xrdp widen the surface beyond a headless server</t>
        </is>
      </c>
      <c r="C16" s="11" t="inlineStr">
        <is>
          <t>Low</t>
        </is>
      </c>
      <c r="D16" s="11" t="inlineStr">
        <is>
          <t>Medium</t>
        </is>
      </c>
      <c r="E16" s="11" t="inlineStr">
        <is>
          <t>Bound to LAN and WireGuard only, never internet-facing; no desktop autologin</t>
        </is>
      </c>
      <c r="F16" s="16" t="inlineStr">
        <is>
          <t>Yes</t>
        </is>
      </c>
      <c r="G16" s="17" t="n"/>
    </row>
    <row r="17">
      <c r="A17" s="12" t="inlineStr">
        <is>
          <t>R22</t>
        </is>
      </c>
      <c r="B17" s="11" t="inlineStr">
        <is>
          <t>The atlas service user is in the docker group, which is root-equivalent on the host; the orchestrator needs the socket for the sandbox and Phase 4 containers</t>
        </is>
      </c>
      <c r="C17" s="11" t="inlineStr">
        <is>
          <t>Medium</t>
        </is>
      </c>
      <c r="D17" s="11" t="inlineStr">
        <is>
          <t>High if the orchestrator is ever compromised</t>
        </is>
      </c>
      <c r="E17" s="11" t="inlineStr">
        <is>
          <t>Accepted for Day 1 and recorded in every script header; Day 2 options are rootless Docker or a socket proxy that allows only the sandbox and engine images. New in v0.3.2</t>
        </is>
      </c>
      <c r="F17" s="16" t="inlineStr">
        <is>
          <t>Yes</t>
        </is>
      </c>
      <c r="G17" s="17" t="inlineStr">
        <is>
          <t>Acknowledged 2026-10-08</t>
        </is>
      </c>
    </row>
    <row r="18">
      <c r="A18" s="12" t="inlineStr">
        <is>
          <t>R23</t>
        </is>
      </c>
      <c r="B18" s="11" t="inlineStr">
        <is>
          <t>TPM2 unlock bound to PCR 7 with Secure Boot disabled unseals for any boot medium (see D15)</t>
        </is>
      </c>
      <c r="C18" s="11" t="inlineStr">
        <is>
          <t>Medium</t>
        </is>
      </c>
      <c r="D18" s="11" t="inlineStr">
        <is>
          <t>High for physical theft of the node</t>
        </is>
      </c>
      <c r="E18" s="11" t="inlineStr">
        <is>
          <t>D15 closed as Secure Boot enabled (v0.3.3); the Principal confirmed the BIOS setting made on 2026-10-13 (workbook sheet 5), so the risk is mitigated subject to pre-flight's own check on Day 1: were it found off, pre-flight warns, V2 notes it and the to-do secure-boot stays open; the enrolment itself proceeds. New in v0.3.2</t>
        </is>
      </c>
      <c r="F18" s="16" t="inlineStr">
        <is>
          <t>Yes</t>
        </is>
      </c>
      <c r="G18" s="17" t="inlineStr">
        <is>
          <t>Acknowledged 2026-10-08</t>
        </is>
      </c>
    </row>
    <row r="19">
      <c r="A19" s="12" t="inlineStr">
        <is>
          <t>R24</t>
        </is>
      </c>
      <c r="B19" s="11" t="inlineStr">
        <is>
          <t>xrdp is the LAN service with known unpatched flaws reachable before login: 26.04 packages 0.10.1 in universe, eighteen 2026 xrdp CVEs (fixed upstream in 0.10.6 and 0.10.6.1) are still "needs-triage" for 26.04, Ubuntu Pro's esm-apps carries no fix, and 0.10.1 runs as root. (SSH, Cockpit, Open WebUI and ntfy are also reachable before login from the LAN; none has a comparable open list.)</t>
        </is>
      </c>
      <c r="C19" s="11" t="inlineStr">
        <is>
          <t>Medium</t>
        </is>
      </c>
      <c r="D19" s="11" t="inlineStr">
        <is>
          <t>High (code execution as root) if a LAN device or a WireGuard peer is hostile</t>
        </is>
      </c>
      <c r="E19" s="11" t="inlineStr">
        <is>
          <t>v0.3.4: port 3389 only from the LAN subnet and WireGuard; the VNC proxy entry (vnc-any, the CVSS 9.8 CVE-2026-41252 path, also commented out upstream in 0.10.6.1), the NeutrinoRDP proxy entry (its module is not shipped) and Xvnc switched off; no root login, no alternate shell, TLS only; optional RDP_ALLOW_FROM (addresses inside the LAN, never the WireGuard bridge, checked before the firewall is touched) narrows the LAN side to the Principal's PC, and step 5b records the to-do with the LAN address the PC connected from. Residual: the remaining pre-login bugs from those hosts. Watch for a 26.04 xrdp security update; a later option is to keep 3389 on WireGuard only. New in v0.3.4</t>
        </is>
      </c>
      <c r="F19" s="16" t="inlineStr">
        <is>
          <t>Yes</t>
        </is>
      </c>
      <c r="G19" s="17" t="inlineStr">
        <is>
          <t>Acknowledged 2026-10-08</t>
        </is>
      </c>
    </row>
    <row r="20">
      <c r="A20" s="12" t="inlineStr">
        <is>
          <t>R25</t>
        </is>
      </c>
      <c r="B20" s="11" t="inlineStr">
        <is>
          <t>Unattended upgrades install security updates from the release and security pockets but never reboot, and do not update Docker CE or Google Chrome (third-party repositories), so kernel and library fixes take effect only at the next reboot</t>
        </is>
      </c>
      <c r="C20" s="11" t="inlineStr">
        <is>
          <t>Medium</t>
        </is>
      </c>
      <c r="D20" s="11" t="inlineStr">
        <is>
          <t>Medium</t>
        </is>
      </c>
      <c r="E20" s="11" t="inlineStr">
        <is>
          <t>Accepted for Day 1: an automatic reboot would interrupt long jobs. Day 2: the live ATLAS reports "reboot required" and pending Docker CE/Chrome updates through ntfy and schedules the reboot with the Principal. New in v0.3.4</t>
        </is>
      </c>
      <c r="F20" s="16" t="inlineStr">
        <is>
          <t>Yes</t>
        </is>
      </c>
      <c r="G20" s="17" t="inlineStr">
        <is>
          <t>Acknowledged 2026-10-08</t>
        </is>
      </c>
    </row>
    <row r="21">
      <c r="A21" s="12" t="inlineStr">
        <is>
          <t>R26</t>
        </is>
      </c>
      <c r="B21" s="11" t="inlineStr">
        <is>
          <t>The ledger's 30-day purge of operational rows (D9, 10.4) is written (Ledger.purge_expired, which refuses to run without an archive callback) but nothing calls it: arbiter_decisions, routing_decisions, tasks and decided approvals (30 days) and sentinel_pulses (365 days) grow without bound (VERIFIED at this commit; strikes are permanent by design)</t>
        </is>
      </c>
      <c r="C21" s="11" t="inlineStr">
        <is>
          <t>Certain that the tables grow; Low that it harms (one owner, small rows, a WAL SQLite file on the 8 TB drive, in every nightly backup)</t>
        </is>
      </c>
      <c r="D21" s="11" t="inlineStr">
        <is>
          <t>Low</t>
        </is>
      </c>
      <c r="E21" s="11" t="inlineStr">
        <is>
          <t>Phased item (S53, with the measurement layer in the first months): the sweep calls purge_expired with the cold archive as its callback. Until then the growth is slow and bounded only by disk, which Sentinel's hourly disk telemetry watches; the measurement layer also records the table sizes. New in v0.3.5 (S53)</t>
        </is>
      </c>
      <c r="F21" s="16" t="inlineStr">
        <is>
          <t>Yes</t>
        </is>
      </c>
      <c r="G21" s="17" t="inlineStr">
        <is>
          <t>Acknowledged 2026-10-13</t>
        </is>
      </c>
    </row>
    <row r="22">
      <c r="A22" s="12" t="inlineStr">
        <is>
          <t>R27</t>
        </is>
      </c>
      <c r="B22" s="11" t="inlineStr">
        <is>
          <t>The pinned Chroma 1.5.9 soft-deletes: a deleted vector is only marked in the HNSW index, labels are never reused, the index's capacity grows to the next power of two of everything ever added and never shrinks, and Chroma has no TTL (feature request #2139, open since 2024) and no compaction, so each collection's index tracks inserts ever, not live notes (VERIFIED in the source at the tag and in its hnswlib fork); a query falls back to brute force once more than a fifth of a small index is deleted</t>
        </is>
      </c>
      <c r="C22" s="11" t="inlineStr">
        <is>
          <t>Medium over years (chat turns are inserted and expire continually; Sentinel BLUFs yearly)</t>
        </is>
      </c>
      <c r="D22" s="11" t="inlineStr">
        <is>
          <t>Low (disk and RAM under the container's 8 GiB cap; one owner's volumes, roughly 4 to 6 KiB per vector, INFERRED)</t>
        </is>
      </c>
      <c r="E22" s="11" t="inlineStr">
        <is>
          <t>The sweep's measurement layer (phased, S53) records live counts per collection and cumulative inserts, the proxy for the tombstone count Chroma does not expose; a collection rebuild (re-insert the live documents into a fresh collection, re-embedding them, outside a backup freeze) when the inserted-ever to live ratio warrants it, as a Principal-approved maintenance proposal: W-CHROMA-REBUILD, at these volumes a yearly question at most. New in v0.3.5 (S53)</t>
        </is>
      </c>
      <c r="F22" s="16" t="inlineStr">
        <is>
          <t>Yes</t>
        </is>
      </c>
      <c r="G22" s="17" t="inlineStr">
        <is>
          <t>Acknowledged 2026-10-13</t>
        </is>
      </c>
    </row>
    <row r="23">
      <c r="A23" s="12" t="inlineStr">
        <is>
          <t>R28</t>
        </is>
      </c>
      <c r="B23" s="11" t="inlineStr">
        <is>
          <t>A sweep that failed inside the Celery worker was silent: atlas-prune.service touches its cadence stamp after a successful enqueue (no --wait), so systemd records success, nothing retries before the next 71-hour slot, and only the ledger's task row and the journal held the error; a broken store, a locked index or a full /srv/cold could have gone unnoticed for weeks (VERIFIED at e6cadea)</t>
        </is>
      </c>
      <c r="C23" s="11" t="inlineStr">
        <is>
          <t>Medium (any sweep failure; a long AEGIS freeze only spools, which is not a failure)</t>
        </is>
      </c>
      <c r="D23" s="11" t="inlineStr">
        <is>
          <t>Low (expired notes linger; nothing is lost, since the archive is written and verified before any delete)</t>
        </is>
      </c>
      <c r="E23" s="11" t="inlineStr">
        <is>
          <t>Since S53 the task pushes one ntfy line ("ATLAS prune: sweep failed", priority high) whether it raised or finished with errors, after the ledger row and before re-raising; the push can neither mask the error nor block the sweep. The sweep is still not retried before the next slot: the alert is what makes it visible, and the weekly summary with its two-in-a-row rule is a phased item. New in v0.3.5 (S53)</t>
        </is>
      </c>
      <c r="F23" s="16" t="inlineStr">
        <is>
          <t>Yes</t>
        </is>
      </c>
      <c r="G23" s="17" t="inlineStr">
        <is>
          <t>Acknowledged 2026-10-13</t>
        </is>
      </c>
    </row>
    <row r="24">
      <c r="A24" s="12" t="inlineStr">
        <is>
          <t>R29</t>
        </is>
      </c>
      <c r="B24" s="11" t="inlineStr">
        <is>
          <t>The re-pin changes every engine's behaviour: b11474 is 510 commits after v0.4.1, and the Vulkan fixes between them include wrong KV rows without flash attention (llama.cpp #28956) and flash-attention fixes (#29591, #29988), so results can depend on the -fa setting (UNVERIFIED on this node). New in v0.4.0 (S-47); acknowledged by the Principal on 2026-10-17</t>
        </is>
      </c>
      <c r="C24" s="11" t="inlineStr">
        <is>
          <t>Medium</t>
        </is>
      </c>
      <c r="D24" s="11" t="inlineStr">
        <is>
          <t>High (every engine)</t>
        </is>
      </c>
      <c r="E24" s="11" t="inlineStr">
        <is>
          <t>V25, required at the Phase 3 gate: the old and new builds compared on gpt-oss-120b, DeepSeek-V4-Flash-0731 and the router, flash attention on for the verdict and off recorded (3.4). GLM-5.3-Flash cannot be compared, since the old pin cannot load it, so V4, V22, the coherence prompt, T-03 and T-04 carry its checks. The pin changes only by a deliberate edit</t>
        </is>
      </c>
      <c r="F24" s="16" t="inlineStr">
        <is>
          <t>Yes</t>
        </is>
      </c>
      <c r="G24" s="17" t="inlineStr">
        <is>
          <t>New in v0.4.0 (S-47, 2026-10-16); acknowledged 2026-10-17</t>
        </is>
      </c>
    </row>
    <row r="25">
      <c r="A25" s="12" t="inlineStr">
        <is>
          <t>R30</t>
        </is>
      </c>
      <c r="B25" s="11" t="inlineStr">
        <is>
          <t>GLM-5.3-Flash's only fitting rung is lossy (UD-IQ4_XS: published mean KLD 0.117, the same top token 88.2% of the time; UNVERIFIED on this node), and it carries seven seats, vision and long documents. New in v0.4.0 (S-47); acknowledged by the Principal on 2026-10-17</t>
        </is>
      </c>
      <c r="C25" s="11" t="inlineStr">
        <is>
          <t>Certain that the rung is lossy; Medium that it matters on the Principal's work</t>
        </is>
      </c>
      <c r="D25" s="11" t="inlineStr">
        <is>
          <t>Medium to high: hard reasoning magnifies quantisation loss (INFERRED from the 2026 review)</t>
        </is>
      </c>
      <c r="E25" s="11" t="inlineStr">
        <is>
          <t>Provisional on every seat until the KLD run (D-02 option (c), T-03); the Phase 3 quality record and the to-do kld-run; the reasoning and Apex seats on the bit-exact DeepSeek-V4-Flash-0731; strong cross-checks on the other family (9.2); the Principal's test sets (D-49)</t>
        </is>
      </c>
      <c r="F25" s="16" t="inlineStr">
        <is>
          <t>Yes</t>
        </is>
      </c>
      <c r="G25" s="17" t="inlineStr">
        <is>
          <t>New in v0.4.0 (S-47, 2026-10-16); acknowledged 2026-10-17</t>
        </is>
      </c>
    </row>
    <row r="26">
      <c r="A26" s="12" t="inlineStr">
        <is>
          <t>R31</t>
        </is>
      </c>
      <c r="B26" s="11" t="inlineStr">
        <is>
          <t>Swap and re-prefill latency: with one LLM seat resident, every change of seat is a swap of about 50 to 85 seconds through LUKS, plus re-prefill of the task's context (DeepSeek-V4-Flash-0731 about 1.5 to 4.5 minutes at 16k to 32k and up to 13 at 64k; INFERRED until T-14). New in v0.4.0 (S-47); acknowledged by the Principal on 2026-10-17</t>
        </is>
      </c>
      <c r="C26" s="11" t="inlineStr">
        <is>
          <t>Certain on every swap</t>
        </is>
      </c>
      <c r="D26" s="11" t="inlineStr">
        <is>
          <t>Medium (usability; nothing is lost)</t>
        </is>
      </c>
      <c r="E26" s="11" t="inlineStr">
        <is>
          <t>GLM-5.3-Flash carries most seats and stays resident (6.3); Deep Think phases are batched (9.1); on Day 1 each strong cross-check swaps on its own (9.2); deep runs are reserved for the Principal's acceptance (D-43, built, 9.1); Phase 3 records each swap; the phased swap batching and slot restore (4.4, 6.3; T-13, T-14)</t>
        </is>
      </c>
      <c r="F26" s="16" t="inlineStr">
        <is>
          <t>Yes</t>
        </is>
      </c>
      <c r="G26" s="17" t="inlineStr">
        <is>
          <t>New in v0.4.0 (S-47, 2026-10-16); acknowledged 2026-10-17</t>
        </is>
      </c>
    </row>
    <row r="27">
      <c r="A27" s="12" t="inlineStr">
        <is>
          <t>R32</t>
        </is>
      </c>
      <c r="B27" s="11" t="inlineStr">
        <is>
          <t>Companions shrink the engine budget: every resident GiB comes off every seat. GLM-5.3-Flash at 8 × 32k projects to 155.05 GiB against about 156 GiB expected and is refused below a MemTotal of about 186.1 GiB, and the CPU pair's host memory and the servers' host-RAM prompt caches sit at the edge of the Arbiter's budget or outside it (INFERRED). New in v0.4.0 (S-47); acknowledged by the Principal on 2026-10-17</t>
        </is>
      </c>
      <c r="C27" s="11" t="inlineStr">
        <is>
          <t>Medium</t>
        </is>
      </c>
      <c r="D27" s="11" t="inlineStr">
        <is>
          <t>High for the seat refused (never an out-of-memory crash: the Arbiter refuses first)</t>
        </is>
      </c>
      <c r="E27" s="11" t="inlineStr">
        <is>
          <t>The Qwen3 pair on the CPU, charged its weights in full plus its measured anonymous memory, never below its projection (D-14 option (e)); Phase 3's measured footprints replace the projections (to-do kv-estimates); the relief orders of 4.1; the to-do cache-ram; the prompt-cache caps and the other host-RAM bounds of S55 (4.1, 4.4); the OCR companion's test re-checks the budget before it is added (5.3)</t>
        </is>
      </c>
      <c r="F27" s="16" t="inlineStr">
        <is>
          <t>Yes</t>
        </is>
      </c>
      <c r="G27" s="17" t="inlineStr">
        <is>
          <t>New in v0.4.0 (S-47, 2026-10-16); acknowledged 2026-10-17</t>
        </is>
      </c>
    </row>
    <row r="28">
      <c r="A28" s="12" t="inlineStr">
        <is>
          <t>R33</t>
        </is>
      </c>
      <c r="B28" s="11" t="inlineStr">
        <is>
          <t>The phased DeepSeek V4.1 trial engine: ROCm on gfx1151 for an LLM (stability with the inbox driver only; llama.cpp #25992, ROCm #6186), a fast-moving source (1,984 commits in six months for the Lucebox engine), published speeds measured with greedy sampling only, and a router-bias switch that trades fidelity for speed. New in v0.4.0 (S-47); acknowledged by the Principal on 2026-10-17</t>
        </is>
      </c>
      <c r="C28" s="11" t="inlineStr">
        <is>
          <t>Medium, after Day 1 only</t>
        </is>
      </c>
      <c r="D28" s="11" t="inlineStr">
        <is>
          <t>Low (evaluation only, outside the routed roster)</t>
        </is>
      </c>
      <c r="E28" s="11" t="inlineStr">
        <is>
          <t>Phased (15.5); the inbox amdgpu driver only, no DKMS, locked memory for that container alone, the image digest, source commit and file hashes pinned and never refreshed by themselves (D-52, D-57, B-36, B-37); speeds measured greedy and at the node's own temperatures, not 1.0 alone (D-47, S56); approximate switches only in scored trials (16.1 rule 9); promotion only by a blind-scored win (T-30)</t>
        </is>
      </c>
      <c r="F28" s="16" t="inlineStr">
        <is>
          <t>Yes</t>
        </is>
      </c>
      <c r="G28" s="17" t="inlineStr">
        <is>
          <t>New in v0.4.0 (S-47, 2026-10-16); acknowledged 2026-10-17; mitigation amended in S56 (D-47, approved by the Principal 2026-10-17)</t>
        </is>
      </c>
    </row>
    <row r="29">
      <c r="A29" s="12" t="inlineStr">
        <is>
          <t>R10</t>
        </is>
      </c>
      <c r="B29" s="11" t="inlineStr">
        <is>
          <t>Sustained thermal load in a small chassis</t>
        </is>
      </c>
      <c r="C29" s="11" t="inlineStr">
        <is>
          <t>Medium</t>
        </is>
      </c>
      <c r="D29" s="11" t="inlineStr">
        <is>
          <t>Low</t>
        </is>
      </c>
      <c r="E29" s="11" t="inlineStr">
        <is>
          <t>Monitor temperatures in Cockpit; the chip's configurable ceiling is 120 W and the Principal is adding external cooling</t>
        </is>
      </c>
      <c r="F29" s="16" t="inlineStr">
        <is>
          <t>Yes</t>
        </is>
      </c>
      <c r="G29" s="17" t="n"/>
    </row>
    <row r="30">
      <c r="A30" s="12" t="inlineStr">
        <is>
          <t>R11</t>
        </is>
      </c>
      <c r="B30" s="11" t="inlineStr">
        <is>
          <t>CGNAT prevents inbound WireGuard</t>
        </is>
      </c>
      <c r="C30" s="11" t="inlineStr">
        <is>
          <t>Low, port forward already succeeded</t>
        </is>
      </c>
      <c r="D30" s="11" t="inlineStr">
        <is>
          <t>High for remote access</t>
        </is>
      </c>
      <c r="E30" s="11" t="inlineStr">
        <is>
          <t>V5 from mobile data, static IP from the ISP if needed</t>
        </is>
      </c>
      <c r="F30" s="16" t="inlineStr">
        <is>
          <t>Yes</t>
        </is>
      </c>
      <c r="G30" s="17" t="n"/>
    </row>
    <row r="31">
      <c r="A31" s="12" t="inlineStr">
        <is>
          <t>R12</t>
        </is>
      </c>
      <c r="B31" s="11" t="inlineStr">
        <is>
          <t>Fictitious directors corresponding as humans, AI non-disclosure</t>
        </is>
      </c>
      <c r="C31" s="11" t="inlineStr">
        <is>
          <t>Medium</t>
        </is>
      </c>
      <c r="D31" s="11" t="inlineStr">
        <is>
          <t>Medium to high, legal</t>
        </is>
      </c>
      <c r="E31" s="11" t="inlineStr">
        <is>
          <t>Gideon's sensitive-tier check, approval gate, 16.5</t>
        </is>
      </c>
      <c r="F31" s="16" t="inlineStr">
        <is>
          <t>Yes</t>
        </is>
      </c>
      <c r="G31" s="17" t="n"/>
    </row>
    <row r="32">
      <c r="A32" s="12" t="inlineStr">
        <is>
          <t>R13</t>
        </is>
      </c>
      <c r="B32" s="11" t="inlineStr">
        <is>
          <t>Abliterated engine used for external output</t>
        </is>
      </c>
      <c r="C32" s="11" t="inlineStr">
        <is>
          <t>Medium</t>
        </is>
      </c>
      <c r="D32" s="11" t="inlineStr">
        <is>
          <t>Medium</t>
        </is>
      </c>
      <c r="E32" s="11" t="inlineStr">
        <is>
          <t>Abliterated output always passes the same gate, never routine tier</t>
        </is>
      </c>
      <c r="F32" s="16" t="inlineStr">
        <is>
          <t>Yes</t>
        </is>
      </c>
      <c r="G32" s="17" t="n"/>
    </row>
    <row r="33">
      <c r="A33" s="12" t="inlineStr">
        <is>
          <t>R14</t>
        </is>
      </c>
      <c r="B33" s="11" t="inlineStr">
        <is>
          <t>Chatterbox continuation quirk in production speech</t>
        </is>
      </c>
      <c r="C33" s="11" t="inlineStr">
        <is>
          <t>Medium</t>
        </is>
      </c>
      <c r="D33" s="11" t="inlineStr">
        <is>
          <t>Low</t>
        </is>
      </c>
      <c r="E33" s="11" t="inlineStr">
        <is>
          <t>V7 testing, Kokoro fallback per line</t>
        </is>
      </c>
      <c r="F33" s="16" t="inlineStr">
        <is>
          <t>Yes</t>
        </is>
      </c>
      <c r="G33" s="17" t="n"/>
    </row>
    <row r="34">
      <c r="A34" s="12" t="inlineStr">
        <is>
          <t>R15</t>
        </is>
      </c>
      <c r="B34" s="11" t="inlineStr">
        <is>
          <t>Prompt bloat from domain injection makes every dispatch slow</t>
        </is>
      </c>
      <c r="C34" s="11" t="inlineStr">
        <is>
          <t>High without limits</t>
        </is>
      </c>
      <c r="D34" s="11" t="inlineStr">
        <is>
          <t>High, usability</t>
        </is>
      </c>
      <c r="E34" s="11" t="inlineStr">
        <is>
          <t>Three-card limit, compact cards, stable-prefix ordering (8.4, 4.4)</t>
        </is>
      </c>
      <c r="F34" s="16" t="inlineStr">
        <is>
          <t>Yes</t>
        </is>
      </c>
      <c r="G34" s="17" t="n"/>
    </row>
    <row r="35">
      <c r="A35" s="12" t="inlineStr">
        <is>
          <t>R16</t>
        </is>
      </c>
      <c r="B35" s="11" t="inlineStr">
        <is>
          <t>Backup passphrase or LUKS key lost with the node</t>
        </is>
      </c>
      <c r="C35" s="11" t="inlineStr">
        <is>
          <t>Low</t>
        </is>
      </c>
      <c r="D35" s="11" t="inlineStr">
        <is>
          <t>Catastrophic</t>
        </is>
      </c>
      <c r="E35" s="11" t="inlineStr">
        <is>
          <t>Sharpened under D3. The Principal keeps a copy on the node and on an external USB drive. The on-node copy is convenience only; the USB copy is the one that matters, and it must live away from the node, since a fire or burglary that takes the node takes anything beside it. Quarterly restore test</t>
        </is>
      </c>
      <c r="F35" s="16" t="inlineStr">
        <is>
          <t>Yes</t>
        </is>
      </c>
      <c r="G35" s="17" t="n"/>
    </row>
    <row r="36">
      <c r="A36" s="12" t="inlineStr">
        <is>
          <t>R17</t>
        </is>
      </c>
      <c r="B36" s="11" t="inlineStr">
        <is>
          <t>PyAnnote gated model not accepted, diarisation silently absent. *Restated in v0.4.0 (S-48, C-06):* the gated pipeline is now speaker-diarization-community-1 (CC-BY-4.0, an automatically approved form). Once the phased Nemotron 3 Diarization (OpenMDW-1.1, not gated) is primary, community-1 is only its fallback for recordings with more than eight speakers, and the risk narrows to that case. The restatement was acknowledged by the Principal on 2026-10-17.</t>
        </is>
      </c>
      <c r="C36" s="11" t="inlineStr">
        <is>
          <t>Medium</t>
        </is>
      </c>
      <c r="D36" s="11" t="inlineStr">
        <is>
          <t>Low</t>
        </is>
      </c>
      <c r="E36" s="11" t="inlineStr">
        <is>
          <t>V6, recorded deferred with the to-do input-hf-token while the token or the licence is missing</t>
        </is>
      </c>
      <c r="F36" s="16" t="inlineStr">
        <is>
          <t>Yes</t>
        </is>
      </c>
      <c r="G36" s="17" t="inlineStr">
        <is>
          <t>Restated in v0.4.0 (S-48, C-06, 2026-10-16); acknowledged 2026-10-17</t>
        </is>
      </c>
    </row>
    <row r="37">
      <c r="A37" s="12" t="inlineStr">
        <is>
          <t>R18</t>
        </is>
      </c>
      <c r="B37" s="11" t="inlineStr">
        <is>
          <t>Continuous vision enabled by drift rather than decision</t>
        </is>
      </c>
      <c r="C37" s="11" t="inlineStr">
        <is>
          <t>Low</t>
        </is>
      </c>
      <c r="D37" s="11" t="inlineStr">
        <is>
          <t>High, privacy</t>
        </is>
      </c>
      <c r="E37" s="11" t="inlineStr">
        <is>
          <t>Separate capability flag under Alaric, logged, D8 item 7</t>
        </is>
      </c>
      <c r="F37" s="16" t="inlineStr">
        <is>
          <t>Yes</t>
        </is>
      </c>
      <c r="G37" s="17" t="n"/>
    </row>
  </sheetData>
  <autoFilter ref="A4:G37"/>
  <conditionalFormatting sqref="F5:F37">
    <cfRule type="cellIs" priority="1" operator="equal" dxfId="0">
      <formula>"Yes"</formula>
    </cfRule>
    <cfRule type="cellIs" priority="2" operator="equal" dxfId="1">
      <formula>"Discuss"</formula>
    </cfRule>
  </conditionalFormatting>
  <dataValidations count="1">
    <dataValidation sqref="F5:F37" showDropDown="0" showInputMessage="0" showErrorMessage="1" allowBlank="1" errorTitle="Invalid entry" error="Pick a value from the list." promptTitle="Choose" prompt="Pick one: Yes / Discuss" type="list" errorStyle="stop">
      <formula1>"Yes,Discuss"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70" customWidth="1" min="2" max="2"/>
    <col width="24" customWidth="1" min="3" max="3"/>
    <col width="16" customWidth="1" min="4" max="4"/>
    <col width="40" customWidth="1" min="5" max="5"/>
  </cols>
  <sheetData>
    <row r="1">
      <c r="A1" s="1" t="inlineStr">
        <is>
          <t>4 Verification</t>
        </is>
      </c>
    </row>
    <row r="2">
      <c r="A2" s="2" t="inlineStr">
        <is>
          <t>Section 21 (V1 to V25; V25, the output parity of the llama.cpp re-pin, is new in v0.4.0, its pass marks confirmed by the Principal on 2026-10-17, and V21 now proves single residency). Filled in during Day 1 as each phase gate runs. Nothing is trusted until its row reads Pass.</t>
        </is>
      </c>
    </row>
    <row r="4">
      <c r="A4" s="10" t="inlineStr">
        <is>
          <t>ID</t>
        </is>
      </c>
      <c r="B4" s="10" t="inlineStr">
        <is>
          <t>What Day 1 must prove</t>
        </is>
      </c>
      <c r="C4" s="10" t="inlineStr">
        <is>
          <t>Where</t>
        </is>
      </c>
      <c r="D4" s="10" t="inlineStr">
        <is>
          <t>Result</t>
        </is>
      </c>
      <c r="E4" s="10" t="inlineStr">
        <is>
          <t>Evidence or notes</t>
        </is>
      </c>
    </row>
    <row r="5">
      <c r="A5" s="12" t="inlineStr">
        <is>
          <t>V1</t>
        </is>
      </c>
      <c r="B5" s="11" t="inlineStr">
        <is>
          <t>Network link up and stable. Informational only, not a gate. *S56 (B-27):* on the cable it records the driver and the link speed (ethtool's Speed: line, else sysfs) and warns below 2,500 Mb/s; Wi-Fi is recorded as before</t>
        </is>
      </c>
      <c r="C5" s="11" t="inlineStr">
        <is>
          <t>Phase 1 pre-flight</t>
        </is>
      </c>
      <c r="D5" s="16" t="inlineStr">
        <is>
          <t>Not yet run</t>
        </is>
      </c>
      <c r="E5" s="17" t="n"/>
    </row>
    <row r="6">
      <c r="A6" s="12" t="inlineStr">
        <is>
          <t>V2</t>
        </is>
      </c>
      <c r="B6" s="11" t="inlineStr">
        <is>
          <t>fTPM present and enabled, TPM2 enrolment succeeds</t>
        </is>
      </c>
      <c r="C6" s="11" t="inlineStr">
        <is>
          <t>Phase 1 step 2</t>
        </is>
      </c>
      <c r="D6" s="16" t="inlineStr">
        <is>
          <t>Not yet run</t>
        </is>
      </c>
      <c r="E6" s="17" t="n"/>
    </row>
    <row r="7">
      <c r="A7" s="12" t="inlineStr">
        <is>
          <t>V3</t>
        </is>
      </c>
      <c r="B7" s="11" t="inlineStr">
        <is>
          <t>Kernel parameters accepted on 7.0 and the GTT pool matches them (Phase 1; since S48 the same check also proves the crash settings: no crashkernel= on the booted command line and no crash-kernel memory reserved, exactly one panic=10, kernel.panic 10 and kernel.panic_on_oops 0; since S49 also exactly one kho=, the literal kho=off, and no CMA memory: no kexec handover scratch and no named CMA area); llama-cli --list-devices then lists the GPU as Vulkan0 with at least the larger of 160000 MiB (156.25 GiB) and the largest Day 1 seat with its context memory as the Arbiter projects it (v0.4.0, D-36 option (c), S-28: 155.05 GiB for GLM-5.3-Flash on Day 1, so 160000 MiB stands; the weights alone before the venv exists) of Vulkan device memory, and records the figure, which is not the engine budget (Phase 2); the measured heap decides every rung above about 149 GiB (T-01). rocminfo's gfx1151 confirmation sits in the Phase 4 container under V11</t>
        </is>
      </c>
      <c r="C7" s="11" t="inlineStr">
        <is>
          <t>Phase 1 gate, then Phase 2 gate</t>
        </is>
      </c>
      <c r="D7" s="16" t="inlineStr">
        <is>
          <t>Not yet run</t>
        </is>
      </c>
      <c r="E7" s="17" t="n"/>
    </row>
    <row r="8">
      <c r="A8" s="12" t="inlineStr">
        <is>
          <t>V4</t>
        </is>
      </c>
      <c r="B8" s="11" t="inlineStr">
        <is>
          <t>Quantised KV cache actually applied per model, no silent fallback (v0.4.0, S-48: the requested type, f16 included, on every proof line an engine prints; kv_proof_lines is four on DeepSeek-V4-Flash-0731 and two on GLM-5.3-Flash and gpt-oss-120b)</t>
        </is>
      </c>
      <c r="C8" s="11" t="inlineStr">
        <is>
          <t>Phase 3 step 2</t>
        </is>
      </c>
      <c r="D8" s="16" t="inlineStr">
        <is>
          <t>Not yet run</t>
        </is>
      </c>
      <c r="E8" s="17" t="n"/>
    </row>
    <row r="9">
      <c r="A9" s="12" t="inlineStr">
        <is>
          <t>V5</t>
        </is>
      </c>
      <c r="B9" s="11" t="inlineStr">
        <is>
          <t>WireGuard reachable from mobile data via vpn.sovereign-node.link</t>
        </is>
      </c>
      <c r="C9" s="11" t="inlineStr">
        <is>
          <t>Phase 1 step 7</t>
        </is>
      </c>
      <c r="D9" s="16" t="inlineStr">
        <is>
          <t>Not yet run</t>
        </is>
      </c>
      <c r="E9" s="17" t="n"/>
    </row>
    <row r="10">
      <c r="A10" s="12" t="inlineStr">
        <is>
          <t>V6</t>
        </is>
      </c>
      <c r="B10" s="11" t="inlineStr">
        <is>
          <t>The pyannote gated pipeline accepted and loading: speaker-diarization-community-1 since v0.4.0 (C-06; it was 3.1, which V6 now probes only as a diagnostic when community-1 is refused)</t>
        </is>
      </c>
      <c r="C10" s="11" t="inlineStr">
        <is>
          <t>Phase 2 step 5</t>
        </is>
      </c>
      <c r="D10" s="16" t="inlineStr">
        <is>
          <t>Not yet run</t>
        </is>
      </c>
      <c r="E10" s="17" t="n"/>
    </row>
    <row r="11">
      <c r="A11" s="12" t="inlineStr">
        <is>
          <t>V7</t>
        </is>
      </c>
      <c r="B11" s="11" t="inlineStr">
        <is>
          <t>Voice casting listening test, Alaric and Gideon clones sourced</t>
        </is>
      </c>
      <c r="C11" s="11" t="inlineStr">
        <is>
          <t>Phase 2 gate</t>
        </is>
      </c>
      <c r="D11" s="16" t="inlineStr">
        <is>
          <t>Not yet run</t>
        </is>
      </c>
      <c r="E11" s="17" t="n"/>
    </row>
    <row r="12">
      <c r="A12" s="12" t="inlineStr">
        <is>
          <t>V8</t>
        </is>
      </c>
      <c r="B12" s="11" t="inlineStr">
        <is>
          <t>PointLLM builds and runs on ROCm in the container</t>
        </is>
      </c>
      <c r="C12" s="11" t="inlineStr">
        <is>
          <t>Phase 4 step 4</t>
        </is>
      </c>
      <c r="D12" s="16" t="inlineStr">
        <is>
          <t>Not yet run</t>
        </is>
      </c>
      <c r="E12" s="17" t="n"/>
    </row>
    <row r="13">
      <c r="A13" s="12" t="inlineStr">
        <is>
          <t>V9</t>
        </is>
      </c>
      <c r="B13" s="11" t="inlineStr">
        <is>
          <t>Clay or Prithvi builds and runs</t>
        </is>
      </c>
      <c r="C13" s="11" t="inlineStr">
        <is>
          <t>Phase 4 step 4</t>
        </is>
      </c>
      <c r="D13" s="16" t="inlineStr">
        <is>
          <t>Not yet run</t>
        </is>
      </c>
      <c r="E13" s="17" t="n"/>
    </row>
    <row r="14">
      <c r="A14" s="12" t="inlineStr">
        <is>
          <t>V10</t>
        </is>
      </c>
      <c r="B14" s="11" t="inlineStr">
        <is>
          <t>Every Day 1 LLM seat (gpt-oss-120b, its abliterated twin, GLM-5.3-Flash and DeepSeek-V4-Flash-0731) loads, generates, swaps and releases memory at its fixed quantisation. *v0.4.0 (S-24, S-25; D-33 option (c)):* decode is recorded beside each seat's projection and fails only below a per-seat floor the Principal sets. *S56 (D-33, D-47, approved by the Principal on 2026-10-17):* the floors are set at 8k, gpt-oss-120b 25, GLM-5.3-Flash 6 and DeepSeek-V4-Flash-0731 4 tok/s, judged on the slower of the 512 and 8k points with at least 64 generated tokens; the 8k prefill fails below 200, 40 and 40; the placement checks fail a partial offload or a GTT delta under 0.85 × the weights (a line not found is UNKNOWN); a review line at 70% of the projection raises the to-do decode-review and never fails; the Apex line carries T-06's 8k decode with DSpark off. The abliterated entry keeps its v0.3.5 band and rule; the GLM and Apex lines point to their V22 rows. Eleanor's resident 4B router model is verified separately at the Phase 2 gate (V10a), since it is pulled there; since S56 V10a also times 128 tokens at temperature 0 and fails below the router's 20 tok/s floor, read from engines.json; below its review line (70% of its projection's low end) Phase 2 raises the to-do decode-review-router, never a fail</t>
        </is>
      </c>
      <c r="C14" s="11" t="inlineStr">
        <is>
          <t>Phase 3 gate</t>
        </is>
      </c>
      <c r="D14" s="16" t="inlineStr">
        <is>
          <t>Not yet run</t>
        </is>
      </c>
      <c r="E14" s="17" t="n"/>
    </row>
    <row r="15">
      <c r="A15" s="12" t="inlineStr">
        <is>
          <t>V11</t>
        </is>
      </c>
      <c r="B15" s="11" t="inlineStr">
        <is>
          <t>Inside the ROCm container: rocminfo reports gfx1151, and AMD's gfx1151 PyTorch wheels (pinned ROCm 10.0.0 / torch 2.13.0 / torchvision 0.28.0 / torchaudio 2.11.0.2) pass tensor, matmul and diffusion self-tests; since S51 torchaudio's installed version must also be exactly the pin, 2.11.0.2+rocm10.0.0 (whether it imports is recorded, not required: an import failure fails CosyVoice 2 and Stable Audio Open, not Phase 4)</t>
        </is>
      </c>
      <c r="C15" s="11" t="inlineStr">
        <is>
          <t>Phase 4 step 1</t>
        </is>
      </c>
      <c r="D15" s="16" t="inlineStr">
        <is>
          <t>Not yet run</t>
        </is>
      </c>
      <c r="E15" s="17" t="n"/>
    </row>
    <row r="16">
      <c r="A16" s="12" t="inlineStr">
        <is>
          <t>V12</t>
        </is>
      </c>
      <c r="B16" s="11" t="inlineStr">
        <is>
          <t>Open WebUI makes no outbound connection after hardening (verified with the firewall log)</t>
        </is>
      </c>
      <c r="C16" s="11" t="inlineStr">
        <is>
          <t>Phase 2 step 3</t>
        </is>
      </c>
      <c r="D16" s="16" t="inlineStr">
        <is>
          <t>Not yet run</t>
        </is>
      </c>
      <c r="E16" s="17" t="n"/>
    </row>
    <row r="17">
      <c r="A17" s="12" t="inlineStr">
        <is>
          <t>V13</t>
        </is>
      </c>
      <c r="B17" s="11" t="inlineStr">
        <is>
          <t>restic backup completes and a restore verifies by checksum</t>
        </is>
      </c>
      <c r="C17" s="11" t="inlineStr">
        <is>
          <t>Phase 2 step 7</t>
        </is>
      </c>
      <c r="D17" s="16" t="inlineStr">
        <is>
          <t>Not yet run</t>
        </is>
      </c>
      <c r="E17" s="17" t="n"/>
    </row>
    <row r="18">
      <c r="A18" s="12" t="inlineStr">
        <is>
          <t>V14</t>
        </is>
      </c>
      <c r="B18" s="11" t="inlineStr">
        <is>
          <t>Engine Arbiter refuses an over-budget load and downgrades a Deep Think depth when the projected footprint exceeds budget. Unit-tested against stub footprints at the Phase 2 gate, then proved against real engines at Phase 3. *v0.4.0 (S-24):* the Phase 3 half runs with nothing resident, against the Day 1 engines and the tier lists of 4.2 rule 8 (deep: GLM-5.3-Flash, DeepSeek-V4-Flash-0731 and gpt-oss-120b), with GLM-5.3-Flash as the probe</t>
        </is>
      </c>
      <c r="C18" s="11" t="inlineStr">
        <is>
          <t>Phase 2 gate (stubs), Phase 3 gate (real)</t>
        </is>
      </c>
      <c r="D18" s="16" t="inlineStr">
        <is>
          <t>Not yet run</t>
        </is>
      </c>
      <c r="E18" s="17" t="n"/>
    </row>
    <row r="19">
      <c r="A19" s="12" t="inlineStr">
        <is>
          <t>V15</t>
        </is>
      </c>
      <c r="B19" s="11" t="inlineStr">
        <is>
          <t>Approval gate holds a standard-tier email until approved, routine-tier auto-sends and logs</t>
        </is>
      </c>
      <c r="C19" s="11" t="inlineStr">
        <is>
          <t>Phase 2 gate</t>
        </is>
      </c>
      <c r="D19" s="16" t="inlineStr">
        <is>
          <t>Not yet run</t>
        </is>
      </c>
      <c r="E19" s="17" t="n"/>
    </row>
    <row r="20">
      <c r="A20" s="12" t="inlineStr">
        <is>
          <t>V16</t>
        </is>
      </c>
      <c r="B20" s="11" t="inlineStr">
        <is>
          <t>Router hard rule routes a "medical" message to Arthur even when the classifier disagrees, decision logged</t>
        </is>
      </c>
      <c r="C20" s="11" t="inlineStr">
        <is>
          <t>Phase 2 gate</t>
        </is>
      </c>
      <c r="D20" s="16" t="inlineStr">
        <is>
          <t>Not yet run</t>
        </is>
      </c>
      <c r="E20" s="17" t="n"/>
    </row>
    <row r="21">
      <c r="A21" s="12" t="inlineStr">
        <is>
          <t>V17</t>
        </is>
      </c>
      <c r="B21" s="11" t="inlineStr">
        <is>
          <t>Sandbox memory cap kills a runaway process without affecting the node</t>
        </is>
      </c>
      <c r="C21" s="11" t="inlineStr">
        <is>
          <t>Phase 2 gate</t>
        </is>
      </c>
      <c r="D21" s="16" t="inlineStr">
        <is>
          <t>Not yet run</t>
        </is>
      </c>
      <c r="E21" s="17" t="n"/>
    </row>
    <row r="22">
      <c r="A22" s="12" t="inlineStr">
        <is>
          <t>V18</t>
        </is>
      </c>
      <c r="B22" s="11" t="inlineStr">
        <is>
          <t>Vault opens by button, locks on idle, vault-tagged content absent from memory collections afterwards</t>
        </is>
      </c>
      <c r="C22" s="11" t="inlineStr">
        <is>
          <t>Phase 2 gate</t>
        </is>
      </c>
      <c r="D22" s="16" t="inlineStr">
        <is>
          <t>Not yet run</t>
        </is>
      </c>
      <c r="E22" s="17" t="n"/>
    </row>
    <row r="23">
      <c r="A23" s="12" t="inlineStr">
        <is>
          <t>V19</t>
        </is>
      </c>
      <c r="B23" s="11" t="inlineStr">
        <is>
          <t>XFCE desktop reachable over xrdp from the Principal's Windows PC, and refused from outside LAN and WireGuard</t>
        </is>
      </c>
      <c r="C23" s="11" t="inlineStr">
        <is>
          <t>Phase 1 step 5b</t>
        </is>
      </c>
      <c r="D23" s="16" t="inlineStr">
        <is>
          <t>Not yet run</t>
        </is>
      </c>
      <c r="E23" s="17" t="n"/>
    </row>
    <row r="24">
      <c r="A24" s="12" t="inlineStr">
        <is>
          <t>V20</t>
        </is>
      </c>
      <c r="B24" s="11" t="inlineStr">
        <is>
          <t>Google OAuth completed for both accounts at the Phase 2 pause; Gmail, Calendar and Drive reachable</t>
        </is>
      </c>
      <c r="C24" s="11" t="inlineStr">
        <is>
          <t>Phase 2 step 6c</t>
        </is>
      </c>
      <c r="D24" s="16" t="inlineStr">
        <is>
          <t>Not yet run</t>
        </is>
      </c>
      <c r="E24" s="17" t="n"/>
    </row>
    <row r="25">
      <c r="A25" s="12" t="inlineStr">
        <is>
          <t>V21</t>
        </is>
      </c>
      <c r="B25" s="11" t="inlineStr">
        <is>
          <t>Single residency (v0.4.0, S-24; D-32 option (a); replacing v0.3.5's two engines resident together at ~142 GB): with gpt-oss-120b resident, a load of GLM-5.3-Flash makes the Arbiter evict it (the Arbiter at the D-32 limit of 1, its grant naming gpt-oss-120b as evicted, its unit stopped, the ledger holding GLM alone, the GTT delta GLM's alone, capped at the live budget), and a second generation request through the orchestrator queues until the first finishes. No Day 1 pair of non-abliterated seats fits the budget together, so the budget alone would force this eviction; the seat limit itself is proven by V14a's unit test. Slot restore across the swap is phased and recorded as not tested (T-13)</t>
        </is>
      </c>
      <c r="C25" s="11" t="inlineStr">
        <is>
          <t>Phase 3 step 3</t>
        </is>
      </c>
      <c r="D25" s="16" t="inlineStr">
        <is>
          <t>Not yet run</t>
        </is>
      </c>
      <c r="E25" s="17" t="n"/>
    </row>
    <row r="26">
      <c r="A26" s="12" t="inlineStr">
        <is>
          <t>V22</t>
        </is>
      </c>
      <c r="B26" s="11" t="inlineStr">
        <is>
          <t>The engines newer than the rest load and generate (v0.4.0, S-26; R19 generalised): DeepSeek-V4-Flash-0731 at UD-Q8_K_XL (its f16 rung, or q8_0 if f16 fails) and every engine whose first-support llama.cpp build is after v0.4.1's b10964, on Day 1 GLM-5.3-Flash (glm5-next, b11279), each on its own row with a summary; a failure is deferred without blocking the phase, and its V10 line points here</t>
        </is>
      </c>
      <c r="C26" s="11" t="inlineStr">
        <is>
          <t>Phase 3 gate (recorded, not blocking)</t>
        </is>
      </c>
      <c r="D26" s="16" t="inlineStr">
        <is>
          <t>Not yet run</t>
        </is>
      </c>
      <c r="E26" s="17" t="n"/>
    </row>
    <row r="27">
      <c r="A27" s="12" t="inlineStr">
        <is>
          <t>V23</t>
        </is>
      </c>
      <c r="B27" s="11" t="inlineStr">
        <is>
          <t>Cloudflare token relocated to a mode-600 environment file and CLOUDFLARE.txt deleted</t>
        </is>
      </c>
      <c r="C27" s="11" t="inlineStr">
        <is>
          <t>Phase 2 step 6b</t>
        </is>
      </c>
      <c r="D27" s="16" t="inlineStr">
        <is>
          <t>Not yet run</t>
        </is>
      </c>
      <c r="E27" s="17" t="n"/>
    </row>
    <row r="28">
      <c r="A28" s="12" t="inlineStr">
        <is>
          <t>V24</t>
        </is>
      </c>
      <c r="B28" s="11" t="inlineStr">
        <is>
          <t>The hardware watchdog is armed (S50): systemd holds the platform's watchdog device (SP5100 TCO timer expected) and pings it, with RuntimeWatchdogSec=2min and RebootWatchdogSec=10min in effect, the device active with a 120-second timeout, its driver unit enabled and active, and no other process holding a watchdog device. When step 4 found no hardware watchdog, the softdog fallback armed the same way is recorded deferred (to-do watchdog); no watchdog device at all is a fail. It proves the timer is armed, not that this board's reset completes</t>
        </is>
      </c>
      <c r="C28" s="11" t="inlineStr">
        <is>
          <t>Phase 1 step 5; Phase 1 gate</t>
        </is>
      </c>
      <c r="D28" s="16" t="inlineStr">
        <is>
          <t>Not yet run</t>
        </is>
      </c>
      <c r="E28" s="17" t="n"/>
    </row>
    <row r="29">
      <c r="A29" s="12" t="inlineStr">
        <is>
          <t>V25</t>
        </is>
      </c>
      <c r="B29" s="11" t="inlineStr">
        <is>
          <t>Output parity between the pin b11474 and the old pin v0.4.1 (new in v0.4.0, S-02; the condition D-01 set on the pin): on the chat engines both builds load (gpt-oss-120b, DeepSeek-V4-Flash-0731, the router), base logits for 16 × 512 tokens of the domain profiles written by the old build and scored by the new with --kl-divergence, and a 24-task deterministic set run on both. The verdict is taken with flash attention on (off is recorded): a mean KLD of at most 0.01, the same top token at least 98% of the time and no fewer tasks correct (thresholds confirmed by the Principal on 2026-10-17, S55). A file the old build cannot load records deferred; GLM-5.3-Flash and the embedder and reranker are listed as not covered</t>
        </is>
      </c>
      <c r="C29" s="11" t="inlineStr">
        <is>
          <t>Phase 3 step 2b; Phase 3 gate (required)</t>
        </is>
      </c>
      <c r="D29" s="16" t="inlineStr">
        <is>
          <t>Not yet run</t>
        </is>
      </c>
      <c r="E29" s="17" t="n"/>
    </row>
  </sheetData>
  <autoFilter ref="A4:E29"/>
  <conditionalFormatting sqref="D5:D29">
    <cfRule type="cellIs" priority="1" operator="equal" dxfId="0">
      <formula>"Pass"</formula>
    </cfRule>
    <cfRule type="cellIs" priority="2" operator="equal" dxfId="2">
      <formula>"Deferred"</formula>
    </cfRule>
    <cfRule type="cellIs" priority="3" operator="equal" dxfId="2">
      <formula>"Not yet run"</formula>
    </cfRule>
    <cfRule type="cellIs" priority="4" operator="equal" dxfId="1">
      <formula>"Fail"</formula>
    </cfRule>
  </conditionalFormatting>
  <dataValidations count="1">
    <dataValidation sqref="D5:D29" showDropDown="0" showInputMessage="0" showErrorMessage="1" allowBlank="1" errorTitle="Invalid entry" error="Pick a value from the list." promptTitle="Choose" prompt="Pick one: Pass / Fail / Deferred / Not yet run" type="list" errorStyle="stop">
      <formula1>"Pass,Fail,Deferred,Not yet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76" customWidth="1" min="3" max="3"/>
    <col width="12" customWidth="1" min="4" max="4"/>
    <col width="34" customWidth="1" min="5" max="5"/>
  </cols>
  <sheetData>
    <row r="1">
      <c r="A1" s="1" t="inlineStr">
        <is>
          <t>5 Checklist</t>
        </is>
      </c>
    </row>
    <row r="2">
      <c r="A2" s="2" t="inlineStr">
        <is>
          <t>Section 22. The original rows were ticked in the workbook returned 2026-09-21; the rows added or reopened since were closed as each records: D15 decided and the Windows share deferred on 2026-10-05, C27 decided and R22 to R25 acknowledged by the Principal on 2026-10-08, the Secure Boot BIOS setting, the USB recovery drive and R26 to R28 ticked in the workbook returned 2026-10-13, and the action register, its licences, C28 to C30 and D16 to D27 ticked on 2026-10-16 (v0.4.0), R29 to R33 with the restated R4, R17, R19 and R20 acknowledged on 2026-10-17, and later that day the answers to the open inputs, the bandwidth and R9 and R20 as restated (S56). S57 records the Principal's statements the same day: the states answered (VIC, NSW and QLD, with the Commonwealth), the briefs collected once ATLAS is live, the standards list a new open row, and the MedGemma decision a task for the live ATLAS with the Principal present. Blank rows: the optional items the scripts ask for at a prompt (Yes when provided, N/A to leave them for the live ATLAS to-do list); the inputs still left to the Principal, each already built with its stated default and kept as a to-do (the seat profiles and reasoning settings; the HAI-DEF decision for MedGemma, taken with the live ATLAS; and after Day 1 the briefs for the seat test sets, from real examples, the standards list, the TF_OMEGA situations and the T-03 coding tasks); and the optional 60-second download test. One row is to do before Phase 1: row 32, the cable on the 10 GbE port not marked DASH, with the reservation and the forward moved to its MAC and Wi-Fi off the LAN subnet (S56; pre-flight warns, never stops, if it is not done). The Secure Boot row and the install rows are ticked. One request still stands on row 29, to confirm that the installer's encryption option (Encrypt the LVM group with LUKS) was taken; pre-flight checks the OS volume on Day 1, and an unencrypted one is a warning and the to-do os-volume-encryption, never a stop.</t>
        </is>
      </c>
    </row>
    <row r="4">
      <c r="A4" s="10" t="inlineStr">
        <is>
          <t>#</t>
        </is>
      </c>
      <c r="B4" s="10" t="inlineStr">
        <is>
          <t>Group</t>
        </is>
      </c>
      <c r="C4" s="10" t="inlineStr">
        <is>
          <t>Item</t>
        </is>
      </c>
      <c r="D4" s="10" t="inlineStr">
        <is>
          <t>Done</t>
        </is>
      </c>
      <c r="E4" s="10" t="inlineStr">
        <is>
          <t>Notes</t>
        </is>
      </c>
    </row>
    <row r="5">
      <c r="A5" s="12" t="n">
        <v>1</v>
      </c>
      <c r="B5" s="11" t="inlineStr">
        <is>
          <t>Principal's actions — what is genuinely left</t>
        </is>
      </c>
      <c r="C5" s="11" t="inlineStr">
        <is>
          <t>Answer D1 through D14. Done, all fourteen closed in Section 19.</t>
        </is>
      </c>
      <c r="D5" s="16" t="inlineStr">
        <is>
          <t>Yes</t>
        </is>
      </c>
      <c r="E5" s="17" t="n"/>
    </row>
    <row r="6">
      <c r="A6" s="12" t="n">
        <v>2</v>
      </c>
      <c r="B6" s="11" t="inlineStr">
        <is>
          <t>Principal's actions — what is genuinely left</t>
        </is>
      </c>
      <c r="C6" s="11" t="inlineStr">
        <is>
          <t>New in v0.4.0: return the action register (64 decisions D-01 to D-64, 12 named models, 18 persona rows, 12 companions, 60 structure rows, 80 baseline items and 33 tests). Returned by the Principal on 2026-10-16, every row approved, P-10 and P-17 marked "Approve with changes" (P-10 with a change and a question, answered in 5.3; P-17 is among the uncensored-seat items, unchanged by this revision; N-01 and N-03 with a question, answered in 4.1 and 4.2); recorded as D16 to D27 (Section 19).</t>
        </is>
      </c>
      <c r="D6" s="16" t="inlineStr">
        <is>
          <t>Yes</t>
        </is>
      </c>
      <c r="E6" s="17" t="n"/>
    </row>
    <row r="7">
      <c r="A7" s="12" t="n">
        <v>3</v>
      </c>
      <c r="B7" s="11" t="inlineStr">
        <is>
          <t>Principal's actions — what is genuinely left</t>
        </is>
      </c>
      <c r="C7" s="11" t="inlineStr">
        <is>
          <t>New in v0.4.0: accept the Qwen Community License 1.0 for Qwen3.8-Flash-Next (D-03), the NVIDIA Nemotron Open Model License for Nemotron 3 Super (D-04) and OpenMDW-1.1 for Nemotron 3 Diarization (D-05). Accepted by the Principal on 2026-10-16 in the returned action register; each applies when its phased engine is pulled.</t>
        </is>
      </c>
      <c r="D7" s="16" t="inlineStr">
        <is>
          <t>Yes</t>
        </is>
      </c>
      <c r="E7" s="17" t="n"/>
    </row>
    <row r="8">
      <c r="A8" s="12" t="n">
        <v>4</v>
      </c>
      <c r="B8" s="11" t="inlineStr">
        <is>
          <t>Principal's actions — what is genuinely left</t>
        </is>
      </c>
      <c r="C8" s="11" t="inlineStr">
        <is>
          <t>New in v0.4.0: accept the remaining licences with each engine as it is approved (D-34 option (b), D-35 option (a)): MIT for GLM-5.3-Flash, DeepSeek-V4-Flash-0731 and Ling-3.0-flash-Fin; Apache 2.0 for the Qwen3 embedder and reranker, Intern-S1 and Baichuan-M3 (Qwen3-Coder-Next and EmbeddingGemma 2 left the arsenal on 2026-10-17, D-19 (c), D-60 (b)); CC-BY-4.0 for pyannote community-1; and, with their phased companions, the OCR, speech, voice and image licences D-35 names. Accepted by the Principal on 2026-10-16 in the returned action register. The Hugging Face click-through for community-1 is part of the token box below. MedGemma 1.5 4B's HAI-DEF terms are not among these (C-12; the open box below).</t>
        </is>
      </c>
      <c r="D8" s="16" t="inlineStr">
        <is>
          <t>Yes</t>
        </is>
      </c>
      <c r="E8" s="17" t="n"/>
    </row>
    <row r="9">
      <c r="A9" s="12" t="n">
        <v>5</v>
      </c>
      <c r="B9" s="11" t="inlineStr">
        <is>
          <t>Principal's actions — what is genuinely left</t>
        </is>
      </c>
      <c r="C9" s="11" t="inlineStr">
        <is>
          <t>Decide where the LUKS recovery key and restic passphrase live (D3). Done: node plus external USB.</t>
        </is>
      </c>
      <c r="D9" s="16" t="inlineStr">
        <is>
          <t>Yes</t>
        </is>
      </c>
      <c r="E9" s="17" t="n"/>
    </row>
    <row r="10">
      <c r="A10" s="12" t="n">
        <v>6</v>
      </c>
      <c r="B10" s="11" t="inlineStr">
        <is>
          <t>Principal's actions — what is genuinely left</t>
        </is>
      </c>
      <c r="C10" s="11" t="inlineStr">
        <is>
          <t>Confirm the Sentinel feed list (D6), the director alias pattern (D14), and the Apple build path (D11, removed).</t>
        </is>
      </c>
      <c r="D10" s="16" t="inlineStr">
        <is>
          <t>Yes</t>
        </is>
      </c>
      <c r="E10" s="17" t="n"/>
    </row>
    <row r="11">
      <c r="A11" s="12" t="n">
        <v>7</v>
      </c>
      <c r="B11" s="11" t="inlineStr">
        <is>
          <t>Principal's actions — what is genuinely left</t>
        </is>
      </c>
      <c r="C11" s="11" t="inlineStr">
        <is>
          <t>Have the USB recovery drive present on Day 1 and write it at the Day 1 close-out: the LUKS recovery key (shown once in Phase 1 step 2), the restic passphrase (/etc/atlas/secrets/restic.pass, shown once in Phase 2 step 7) and the vault passphrase you chose (step 9b); then store it away from the node, not beside it (R16). Drive in hand, confirmed by the Principal on 2026-10-13; the writing itself stays a Day 1 close-out step. *Reworded in v0.3.2: the material does not exist before Day 1, so the drive cannot be "stored" yet.*</t>
        </is>
      </c>
      <c r="D11" s="16" t="inlineStr">
        <is>
          <t>Yes</t>
        </is>
      </c>
      <c r="E11" s="17" t="n"/>
    </row>
    <row r="12">
      <c r="A12" s="12" t="n">
        <v>8</v>
      </c>
      <c r="B12" s="11" t="inlineStr">
        <is>
          <t>Principal's actions — what is genuinely left</t>
        </is>
      </c>
      <c r="C12" s="11" t="inlineStr">
        <is>
          <t>New in v0.4.0 (B-25, approved by the Principal on 2026-10-16): initialise the real gocryptfs vault before Day 1 and choose its passphrase: from a console, run sudo env ATLAS_VAULT_INIT=1 ./atlas-day1.sh phase2 --force 09b, then write the passphrase and the master key (shown once) with the other secrets for the USB drive (above). A plain phase2 proves the mechanics on a throw-away vault and records V18 deferred (Section 11, 17).</t>
        </is>
      </c>
      <c r="D12" s="16" t="inlineStr">
        <is>
          <t>Yes</t>
        </is>
      </c>
      <c r="E12" s="17" t="n"/>
    </row>
    <row r="13">
      <c r="A13" s="12" t="n">
        <v>9</v>
      </c>
      <c r="B13" s="11" t="inlineStr">
        <is>
          <t>Principal's actions — what is genuinely left</t>
        </is>
      </c>
      <c r="C13" s="11" t="inlineStr">
        <is>
          <t>New in v0.3.3: enable Secure Boot in the BIOS before Phase 1 (D15, option (a)). The one BIOS change since the workbook; without it pre-flight warns and the to-do secure-boot stays open, nothing stops. Done, confirmed by the Principal on 2026-10-13; pre-flight verifies it on Day 1.</t>
        </is>
      </c>
      <c r="D13" s="16" t="inlineStr">
        <is>
          <t>Yes</t>
        </is>
      </c>
      <c r="E13" s="17" t="n"/>
    </row>
    <row r="14">
      <c r="A14" s="12" t="n">
        <v>10</v>
      </c>
      <c r="B14" s="11" t="inlineStr">
        <is>
          <t>Principal's actions — what is genuinely left</t>
        </is>
      </c>
      <c r="C14" s="11" t="inlineStr">
        <is>
          <t>Optional, asked at the prompt (v0.3.3): your SSH public key, pasted when Phase 1 step 1 asks (the step prints the PowerShell command that shows it); skipped, password SSH stays on until the key is added (to-do ssh-key).</t>
        </is>
      </c>
      <c r="D14" s="16" t="n"/>
      <c r="E14" s="17" t="n"/>
    </row>
    <row r="15">
      <c r="A15" s="12" t="n">
        <v>11</v>
      </c>
      <c r="B15" s="11" t="inlineStr">
        <is>
          <t>Principal's actions — what is genuinely left</t>
        </is>
      </c>
      <c r="C15" s="11" t="inlineStr">
        <is>
          <t>Optional, asked at the prompt (v0.3.3): GOOGLE_ACCOUNTS (two addresses, each tagged corporate or estate), FAMILY_NAMES (for the router's hard rule) and BUILDFARM_ACCEPT_ANDROID_SDK_LICENCE (Google's Android SDK licence, needed by the build container) are asked once by the first run, with an example each; a skip records a to-do and the dependent step defers itself. WINDOWS_SHARE is not asked (Section 12.4: live to-do).</t>
        </is>
      </c>
      <c r="D15" s="16" t="n"/>
      <c r="E15" s="17" t="n"/>
    </row>
    <row r="16">
      <c r="A16" s="12" t="n">
        <v>12</v>
      </c>
      <c r="B16" s="11" t="inlineStr">
        <is>
          <t>Principal's actions — what is genuinely left</t>
        </is>
      </c>
      <c r="C16" s="11" t="inlineStr">
        <is>
          <t>~~/etc/atlas/secrets/smb.cred for the Windows share account~~ Deferred to the live ATLAS (v0.3.3) with the share itself; Phase 2 step 9 is skipped. No action before Day 1.</t>
        </is>
      </c>
      <c r="D16" s="16" t="inlineStr">
        <is>
          <t>Yes</t>
        </is>
      </c>
      <c r="E16" s="17" t="n"/>
    </row>
    <row r="17">
      <c r="A17" s="12" t="n">
        <v>13</v>
      </c>
      <c r="B17" s="11" t="inlineStr">
        <is>
          <t>Principal's actions — what is genuinely left</t>
        </is>
      </c>
      <c r="C17" s="11" t="inlineStr">
        <is>
          <t>Decide D15 (Secure Boot and the TPM binding). Done 2026-10-05: option (a).</t>
        </is>
      </c>
      <c r="D17" s="16" t="inlineStr">
        <is>
          <t>Yes</t>
        </is>
      </c>
      <c r="E17" s="17" t="n"/>
    </row>
    <row r="18">
      <c r="A18" s="12" t="n">
        <v>14</v>
      </c>
      <c r="B18" s="11" t="inlineStr">
        <is>
          <t>Principal's actions — what is genuinely left</t>
        </is>
      </c>
      <c r="C18" s="11" t="inlineStr">
        <is>
          <t>Create the Google Cloud OAuth client for Gmail, Calendar and Drive, and be reachable for roughly five minutes during the Phase 2 pause (V20). Client created. The consent click itself still happens during Phase 2; Google requires the account owner to click Allow. The client must be of the Desktop app type (its JSON has a top-level installed key; a web key is the wrong type and Phase 2 stops at minute 0 saying so). Drop the JSON into /srv/atlas/staging/inbox/google-oauth-client.json once Phase 1 has created that folder.</t>
        </is>
      </c>
      <c r="D18" s="16" t="inlineStr">
        <is>
          <t>Yes</t>
        </is>
      </c>
      <c r="E18" s="17" t="n"/>
    </row>
    <row r="19">
      <c r="A19" s="12" t="n">
        <v>15</v>
      </c>
      <c r="B19" s="11" t="inlineStr">
        <is>
          <t>Principal's actions — what is genuinely left</t>
        </is>
      </c>
      <c r="C19" s="11" t="inlineStr">
        <is>
          <t>Optional, asked at the prompt (v0.3.1, relaxed in v0.3.3): create a Hugging Face access token (read scope) and, with the same account, accept the licences of the gated models on huggingface.co: pyannote/speaker-diarization-community-1 (V6; since v0.4.0, C-06, the one pyannote repository V6 needs, so pyannote/speaker-diarization-3.1 and pyannote/segmentation-3.0 are no longer required), black-forest-labs/FLUX.1-dev and stabilityai/stable-audio-open-1.0 (Phase 4). Phase 2 asks for the token once at its start (hidden input) and stores it under /etc/atlas/secrets/; skipped, V6 and the gated Phase 4 engines are deferred with the to-do input-hf-token. The four Phase 3 repositories are public, so Day 1 needs no further gated licence (v0.4.0).</t>
        </is>
      </c>
      <c r="D19" s="16" t="n"/>
      <c r="E19" s="17" t="n"/>
    </row>
    <row r="20">
      <c r="A20" s="12" t="n">
        <v>16</v>
      </c>
      <c r="B20" s="11" t="inlineStr">
        <is>
          <t>Principal's actions — what is genuinely left</t>
        </is>
      </c>
      <c r="C20" s="11" t="inlineStr">
        <is>
          <t>Answered by the Principal on 2026-10-17 (S56): the inputs v0.4.0's approved rows had left open, from the open-input research: the per-seat decode floors and the deep-tier floor (D-33, D-47: 25, 6, 4 and 20 tok/s at 8k, prefill floors 200, 40 and 40, 4 tok/s for the deep tier; Section 1, 9.1, V10); the context targets of Baichuan-M3 and Intern-S1 (D-16: Q5_K_S with a rotated q8_0 cache at 1 × 32,768, Baichuan-M3 on the i1 file, Intern-S1 text only; 4.1, 5.1); no dedicated coder seat (D-19 (c): GLM-5.3-Flash codes, provisional until T-03); EmbeddingGemma 2 dropped (D-60 (b), 15.5); MedGemma 1.5 4B only on conditions, Rad-DINO alone until they hold (C-12, 15.2); the designs of the seat test sets and the trial set (D-49, D-46; 6.2, 15.5); and the bandwidth (B-27: a 2,000 Mbps line, 400 Mbps planned for the single-stream pull, the cable on the 10 GbE port not marked DASH to a 2.5 GbE router port; 2, 15.4). decode-floors is no longer raised while every seat has a floor, and context-targets is answered.</t>
        </is>
      </c>
      <c r="D20" s="16" t="inlineStr">
        <is>
          <t>Yes</t>
        </is>
      </c>
      <c r="E20" s="17" t="n"/>
    </row>
    <row r="21">
      <c r="A21" s="12" t="n">
        <v>17</v>
      </c>
      <c r="B21" s="11" t="inlineStr">
        <is>
          <t>Principal's actions — what is genuinely left</t>
        </is>
      </c>
      <c r="C21" s="11" t="inlineStr">
        <is>
          <t>Open, not needed for Day 1 (v0.4.0): the inputs still left to the Principal, each built with its stated default and kept as a to-do: the DeepSeek-V4-Flash-0731 context target (default 131,072 tokens, 4.3), GLM-5.3-Flash's cache type and slot profile (T-04, D-48; default f16 at 8 × 32k without --kv-unified, 4.3) and the long-document trigger (D-38, S-30; default 24,000 tokens, 7.1) (to-do seat-profiles); each seat's fixed reasoning setting (D-30 (b); the provisional settings of 5.1, in the to-do kld-run).</t>
        </is>
      </c>
      <c r="D21" s="16" t="n"/>
      <c r="E21" s="17" t="n"/>
    </row>
    <row r="22">
      <c r="A22" s="12" t="n">
        <v>18</v>
      </c>
      <c r="B22" s="11" t="inlineStr">
        <is>
          <t>Principal's actions — what is genuinely left</t>
        </is>
      </c>
      <c r="C22" s="11" t="inlineStr">
        <is>
          <t>Open, a task for the live ATLAS with the Principal present (S56, C-12; S57): accept or decline Google's HAI-DEF Terms of Use and Prohibited Use Policy for MedGemma 1.5 4B. Not needed for Day 1. After Day 1 ATLAS raises it and shows a plain summary of both, with their links (15.2); no script raises it on Day 1. The Principal decides. On a yes, the Principal accepts on the model's Hugging Face page with their own account, never ATLAS (16.3 item 2); ATLAS records the date and the terms version in the ledger, like pyannote's, then pulls MedGemma 1.5 4B and runs the node test against GLM-5.3-Flash's own vision. Accepting means no diagnosis, a licensed clinician making any real decision, no serving to anyone else, family members' images only with their consent, an indemnity to Google, and every copy deleted if Google terminates (California law). Declining, or leaving it, keeps Rad-DINO alone, with GLM-5.3-Flash's own vision reading scans (15.2).</t>
        </is>
      </c>
      <c r="D22" s="16" t="n"/>
      <c r="E22" s="17" t="n"/>
    </row>
    <row r="23">
      <c r="A23" s="12" t="n">
        <v>19</v>
      </c>
      <c r="B23" s="11" t="inlineStr">
        <is>
          <t>Principal's actions — what is genuinely left</t>
        </is>
      </c>
      <c r="C23" s="11" t="inlineStr">
        <is>
          <t>Optional (S56, B-27): before Phase 3, time one 60-second download on any computer on the same line: curl -L -o /dev/null --max-time 60 -w '%{speed_download}\n' https://huggingface.co/unsloth/DeepSeek-V4-Flash-0731-GGUF/resolve/main/UD-Q8_K_XL/DeepSeek-V4-Flash-0731-UD-Q8_K_XL-00003-of-00005.gguf (on Windows curl.exe, with -o NUL). It prints bytes per second: × 8 ÷ 1,000,000 gives Mbit/s. Set DOWNLOAD_MBPS in /etc/atlas/atlas.env to about 0.8 × that. Skipped, 400 stands (15.4).</t>
        </is>
      </c>
      <c r="D23" s="16" t="n"/>
      <c r="E23" s="17" t="n"/>
    </row>
    <row r="24">
      <c r="A24" s="12" t="n">
        <v>20</v>
      </c>
      <c r="B24" s="11" t="inlineStr">
        <is>
          <t>Principal's actions — what is genuinely left</t>
        </is>
      </c>
      <c r="C24" s="11" t="inlineStr">
        <is>
          <t>Open, after Day 1 (v0.4.0; the set design approved on 2026-10-17, S56; S57): for the test sets of Australian law, HR, aviation, logistics, AEC, SCADA, game design, growth marketing, customer success and physical security / OSINT: a brief of about 15 minutes per domain (the 3 to 5 kinds of task you would give that seat, and 2 or 3 redacted real examples where they exist, which stay on the node), collected once ATLAS is live, from real examples as the work progresses (the Principal, 2026-10-17); the standards list (the box below); then approval or edits of ATLAS's drafts, wave by wave, and blind grades for the escalations and the 10% calibration sample (D-49 option (a), T-27; to-do seat-test-sets). Your states of operation are answered: VIC, NSW and QLD, with the Commonwealth (S57, Section 1). Awaiting the Principal, not decided: spreading wave 1's 16 Australian-law tasks across the Commonwealth, VIC, NSW and QLD, and adding about 10 Australian tax and finance tasks (6.2). Until the sets are scored, GLM-5.3-Flash carries those seats unproven (6.2).</t>
        </is>
      </c>
      <c r="D24" s="16" t="n"/>
      <c r="E24" s="17" t="n"/>
    </row>
    <row r="25">
      <c r="A25" s="12" t="n">
        <v>21</v>
      </c>
      <c r="B25" s="11" t="inlineStr">
        <is>
          <t>Principal's actions — what is genuinely left</t>
        </is>
      </c>
      <c r="C25" s="11" t="inlineStr">
        <is>
          <t>Open, for the live ATLAS (S57): the list of Australian Standards you hold or subscribe to, with each licence's terms checked: whether it allows storing and processing the text in a private system. ATLAS holds the text of only those; every other standard it cites by number, edition and what free sources say, never its clauses (8.4). Accepting or renewing a licence stays your own act (16.3 item 2). Until the list is given, no standard's text is held. It also serves the D-49 test sets (to-do seat-test-sets).</t>
        </is>
      </c>
      <c r="D25" s="16" t="n"/>
      <c r="E25" s="17" t="n"/>
    </row>
    <row r="26">
      <c r="A26" s="12" t="n">
        <v>22</v>
      </c>
      <c r="B26" s="11" t="inlineStr">
        <is>
          <t>Principal's actions — what is genuinely left</t>
        </is>
      </c>
      <c r="C26" s="11" t="inlineStr">
        <is>
          <t>Open, after Day 1 (v0.4.0; the 40-task design and its promotion rule approved on 2026-10-17, S56): write 8 to 10 one-paragraph real situations that would warrant TF_OMEGA, from which ATLAS drafts the trial's apex tasks; approve the 40 drafted tasks and references, the planted flaws included; grade the split verdicts and 10 calibration tasks blind (D-46 option (b), T-30; to-do trial-task-set).</t>
        </is>
      </c>
      <c r="D26" s="16" t="n"/>
      <c r="E26" s="17" t="n"/>
    </row>
    <row r="27">
      <c r="A27" s="12" t="n">
        <v>23</v>
      </c>
      <c r="B27" s="11" t="inlineStr">
        <is>
          <t>Principal's actions — what is genuinely left</t>
        </is>
      </c>
      <c r="C27" s="11" t="inlineStr">
        <is>
          <t>Open, after Day 1 (S56, D-19 (c)): supply 20 to 30 of your own coding tasks for T-03. They run on GLM-5.3-Flash and DeepSeek-V4-Flash-0731 at each seat's real settings, and the result decides which of the two codes (17). Until then GLM-5.3-Flash codes.</t>
        </is>
      </c>
      <c r="D27" s="16" t="n"/>
      <c r="E27" s="17" t="n"/>
    </row>
    <row r="28">
      <c r="A28" s="12" t="n">
        <v>24</v>
      </c>
      <c r="B28" s="11" t="inlineStr">
        <is>
          <t>Principal's actions — what is genuinely left</t>
        </is>
      </c>
      <c r="C28" s="11" t="inlineStr">
        <is>
          <t>Optional, asked at the prompt (v0.3.1, relaxed in v0.3.3): have the Cloudflare zone id for sovereign-node.link to hand (Overview page of the zone). A Zone:DNS:Edit-only token cannot look the zone up by name; Phase 1 step 7 asks for the id once if the token cannot list zones. A missing CLOUDFLARE.txt or a skipped zone id defers dynamic DNS and V23 with a to-do.</t>
        </is>
      </c>
      <c r="D28" s="16" t="n"/>
      <c r="E28" s="17" t="n"/>
    </row>
    <row r="29">
      <c r="A29" s="12" t="n">
        <v>25</v>
      </c>
      <c r="B29" s="11" t="inlineStr">
        <is>
          <t>Principal's actions — what is genuinely left</t>
        </is>
      </c>
      <c r="C29" s="11" t="inlineStr">
        <is>
          <t>Source reference recordings for Alaric's gravelly voice and, if the British male presets collide, Gideon's. Sourced. Drop them as alaric.* and gideon.* (WAV, MP3 or M4A; step 5 converts to 16 kHz mono WAV) into /srv/atlas/staging/inbox/voice-references/ once Phase 1 has created the folder; if absent, both fall back to the nearest Kokoro preset and V7 is recorded as deferred, not failed.</t>
        </is>
      </c>
      <c r="D29" s="16" t="inlineStr">
        <is>
          <t>Yes</t>
        </is>
      </c>
      <c r="E29" s="17" t="n"/>
    </row>
    <row r="30">
      <c r="A30" s="12" t="n">
        <v>26</v>
      </c>
      <c r="B30" s="11" t="inlineStr">
        <is>
          <t>Principal's actions — what is genuinely left</t>
        </is>
      </c>
      <c r="C30" s="11" t="inlineStr">
        <is>
          <t>Have a monitor and keyboard available for Phase 1 only, in case first boot needs a hand. Done.</t>
        </is>
      </c>
      <c r="D30" s="16" t="inlineStr">
        <is>
          <t>Yes</t>
        </is>
      </c>
      <c r="E30" s="17" t="n"/>
    </row>
    <row r="31">
      <c r="A31" s="12" t="n">
        <v>27</v>
      </c>
      <c r="B31" s="11" t="inlineStr">
        <is>
          <t>Automated on the Principal's instruction, no action needed</t>
        </is>
      </c>
      <c r="C31" s="11" t="inlineStr">
        <is>
          <t>Cloudflare token relocation and deletion of CLOUDFLARE.txt: Phase 2 step 6b (V23).</t>
        </is>
      </c>
      <c r="D31" s="16" t="inlineStr">
        <is>
          <t>Yes</t>
        </is>
      </c>
      <c r="E31" s="17" t="n"/>
    </row>
    <row r="32">
      <c r="A32" s="12" t="n">
        <v>28</v>
      </c>
      <c r="B32" s="11" t="inlineStr">
        <is>
          <t>Automated on the Principal's instruction, no action needed</t>
        </is>
      </c>
      <c r="C32" s="11" t="inlineStr">
        <is>
          <t>Director aliases generated from names rather than confirmed one by one (D14).</t>
        </is>
      </c>
      <c r="D32" s="16" t="inlineStr">
        <is>
          <t>Yes</t>
        </is>
      </c>
      <c r="E32" s="17" t="n"/>
    </row>
    <row r="33">
      <c r="A33" s="12" t="n">
        <v>29</v>
      </c>
      <c r="B33" s="11" t="inlineStr">
        <is>
          <t>Build-side preconditions</t>
        </is>
      </c>
      <c r="C33" s="11" t="inlineStr">
        <is>
          <t>Ubuntu Server 26.04.1 installed on the 4 TB drive with the installer's encrypted-LVM (LUKS) option (installer storage step: *Use an entire disk*, the 4 TB drive, tick *Encrypt the LVM group with LUKS*, choose a disk passphrase; Section 3.5 requires both volumes encrypted; v0.3.3: an unencrypted OS volume is a warning and the to-do os-volume-encryption, not a stop); 8 TB drive unpartitioned. No desktop needed at install time: Phase 1 step 5b installs XFCE, xrdp and Chrome. Done per the returned workbook; confirm the encryption option was taken.</t>
        </is>
      </c>
      <c r="D33" s="16" t="inlineStr">
        <is>
          <t>Yes</t>
        </is>
      </c>
      <c r="E33" s="17" t="n"/>
    </row>
    <row r="34">
      <c r="A34" s="12" t="n">
        <v>30</v>
      </c>
      <c r="B34" s="11" t="inlineStr">
        <is>
          <t>Build-side preconditions</t>
        </is>
      </c>
      <c r="C34" s="11" t="inlineStr">
        <is>
          <t>BIOS: UMA minimum, IOMMU on, fTPM on. Done. Secure Boot: enabled (D15, v0.3.3; see the Principal's actions above).</t>
        </is>
      </c>
      <c r="D34" s="16" t="inlineStr">
        <is>
          <t>Yes</t>
        </is>
      </c>
      <c r="E34" s="17" t="n"/>
    </row>
    <row r="35">
      <c r="A35" s="12" t="n">
        <v>31</v>
      </c>
      <c r="B35" s="11" t="inlineStr">
        <is>
          <t>Build-side preconditions</t>
        </is>
      </c>
      <c r="C35" s="11" t="inlineStr">
        <is>
          <t>LAN address reserved for the node on the router (DHCP reservation for the node's MAC, Wi-Fi or cable: Phase 1 uses whichever interface is up); UDP 51820 forward confirmed to that address. Done. The reservation is what keeps the forward pointing at the node; no further IP action is needed beyond that move, and the VPN test from mobile data (V5) can be done whenever convenient. *S56:* the reservation and the forward move to the cable port's MAC before Phase 1 (box below).</t>
        </is>
      </c>
      <c r="D35" s="16" t="inlineStr">
        <is>
          <t>Yes</t>
        </is>
      </c>
      <c r="E35" s="17" t="n"/>
    </row>
    <row r="36">
      <c r="A36" s="12" t="n">
        <v>32</v>
      </c>
      <c r="B36" s="11" t="inlineStr">
        <is>
          <t>Build-side preconditions</t>
        </is>
      </c>
      <c r="C36" s="11" t="inlineStr">
        <is>
          <t>New in S56 (B-27, the Principal's choice of 2026-10-17), before Phase 1: plug the cable into the node's 10 GbE port not marked DASH (the one away from DC IN) and into a 2.5 GbE router port; move the DHCP reservation and the UDP 51820 forward above to that port's MAC; take Wi-Fi off the LAN subnet. Pre-flight notes the port and the MAC and warns, never stops, if any of this is missing. A move after Phase 1 means setting LAN_IFACE and LAN_CIDR and re-running Phase 1 step 4 (--force 04).</t>
        </is>
      </c>
      <c r="D36" s="16" t="n"/>
      <c r="E36" s="17" t="n"/>
    </row>
    <row r="37">
      <c r="A37" s="12" t="n">
        <v>33</v>
      </c>
      <c r="B37" s="11" t="inlineStr">
        <is>
          <t>Build-side preconditions</t>
        </is>
      </c>
      <c r="C37" s="11" t="inlineStr">
        <is>
          <t>Internet bandwidth known, so the Phase 3 download can be planned (v0.4.0: about 448 GB in Phase 3, about 10 hours at 100 Mbps, D-42 option (b); about 842 GB of phased engines later; about 1.9 TB in all, D-41 option (a); v0.3.5 planned ~690 GB). Done; recorded on 2026-10-17 (S56, B-27): a 2,000 Mbps line, with 400 Mbps planned for the single-stream pull as written: about 2.5 hours for Phase 3's 448 GB, about 4.2 hours for the 757 GB of phased engines and about 10 hours for about 1.8 TB in all (15.4).</t>
        </is>
      </c>
      <c r="D37" s="16" t="inlineStr">
        <is>
          <t>Yes</t>
        </is>
      </c>
      <c r="E37" s="17" t="n"/>
    </row>
    <row r="38">
      <c r="A38" s="12" t="n">
        <v>34</v>
      </c>
      <c r="B38" s="11" t="inlineStr">
        <is>
          <t>Accepted resolutions</t>
        </is>
      </c>
      <c r="C38" s="11" t="inlineStr">
        <is>
          <t>C1 through C20 accepted in the returned workbook. C19 was reopened and re-decided in the Principal's favour.</t>
        </is>
      </c>
      <c r="D38" s="16" t="inlineStr">
        <is>
          <t>Yes</t>
        </is>
      </c>
      <c r="E38" s="17" t="n"/>
    </row>
    <row r="39">
      <c r="A39" s="12" t="n">
        <v>35</v>
      </c>
      <c r="B39" s="11" t="inlineStr">
        <is>
          <t>Accepted resolutions</t>
        </is>
      </c>
      <c r="C39" s="11" t="inlineStr">
        <is>
          <t>C21 through C26, new in v0.2, accepted in the returned workbook: the Ubuntu and amd64v3 rejections, the quantisation rise, the closed reserve list, the vision consolidation, and the residency-versus-generation reading.</t>
        </is>
      </c>
      <c r="D39" s="16" t="inlineStr">
        <is>
          <t>Yes</t>
        </is>
      </c>
      <c r="E39" s="17" t="n"/>
    </row>
    <row r="40">
      <c r="A40" s="12" t="n">
        <v>36</v>
      </c>
      <c r="B40" s="11" t="inlineStr">
        <is>
          <t>Accepted resolutions</t>
        </is>
      </c>
      <c r="C40" s="11" t="inlineStr">
        <is>
          <t>R9, R16, R19, R20 and R21 acknowledged in the returned workbook: two changed wording in v0.2, three were new.</t>
        </is>
      </c>
      <c r="D40" s="16" t="inlineStr">
        <is>
          <t>Yes</t>
        </is>
      </c>
      <c r="E40" s="17" t="n"/>
    </row>
    <row r="41">
      <c r="A41" s="12" t="n">
        <v>37</v>
      </c>
      <c r="B41" s="11" t="inlineStr">
        <is>
          <t>Accepted resolutions</t>
        </is>
      </c>
      <c r="C41" s="11" t="inlineStr">
        <is>
          <t>C27, new in v0.3.4: Ubuntu Server 26.04.1 kept over Fedora 44 KDE Plasma. Decided by the Principal on 2026-10-08.</t>
        </is>
      </c>
      <c r="D41" s="16" t="inlineStr">
        <is>
          <t>Yes</t>
        </is>
      </c>
      <c r="E41" s="17" t="n"/>
    </row>
    <row r="42">
      <c r="A42" s="12" t="n">
        <v>38</v>
      </c>
      <c r="B42" s="11" t="inlineStr">
        <is>
          <t>Accepted resolutions</t>
        </is>
      </c>
      <c r="C42" s="11" t="inlineStr">
        <is>
          <t>R22 to R25 acknowledged by the Principal on 2026-10-08 (R22 and R23 new in v0.3.2, R24 and R25 new in v0.3.4).</t>
        </is>
      </c>
      <c r="D42" s="16" t="inlineStr">
        <is>
          <t>Yes</t>
        </is>
      </c>
      <c r="E42" s="17" t="n"/>
    </row>
    <row r="43">
      <c r="A43" s="12" t="n">
        <v>39</v>
      </c>
      <c r="B43" s="11" t="inlineStr">
        <is>
          <t>Accepted resolutions</t>
        </is>
      </c>
      <c r="C43" s="11" t="inlineStr">
        <is>
          <t>R26 to R28 acknowledged by the Principal on 2026-10-13 (all three new in v0.3.5, S53, 2026-10-12; sheet 3).</t>
        </is>
      </c>
      <c r="D43" s="16" t="inlineStr">
        <is>
          <t>Yes</t>
        </is>
      </c>
      <c r="E43" s="17" t="n"/>
    </row>
    <row r="44">
      <c r="A44" s="12" t="n">
        <v>40</v>
      </c>
      <c r="B44" s="11" t="inlineStr">
        <is>
          <t>Accepted resolutions</t>
        </is>
      </c>
      <c r="C44" s="11" t="inlineStr">
        <is>
          <t>C28 to C30, new in v0.4.0 (superseding C23, C25 and C26), and D16 to D27 (reopening D4, D10 and D12): approved by the Principal on 2026-10-16 in the returned action register (D-25 option (a)).</t>
        </is>
      </c>
      <c r="D44" s="16" t="inlineStr">
        <is>
          <t>Yes</t>
        </is>
      </c>
      <c r="E44" s="17" t="n"/>
    </row>
    <row r="45">
      <c r="A45" s="12" t="n">
        <v>41</v>
      </c>
      <c r="B45" s="11" t="inlineStr">
        <is>
          <t>Accepted resolutions</t>
        </is>
      </c>
      <c r="C45" s="11" t="inlineStr">
        <is>
          <t>R29 to R33 and the restated R4, R17, R19 and R20 acknowledged by the Principal on 2026-10-17 (R29 to R33 new in v0.4.0, S-47, 2026-10-16; the four restated in S-47 and S-48; S55; sheet 3).</t>
        </is>
      </c>
      <c r="D45" s="16" t="inlineStr">
        <is>
          <t>Yes</t>
        </is>
      </c>
      <c r="E45" s="17" t="n"/>
    </row>
    <row r="46">
      <c r="A46" s="12" t="n">
        <v>42</v>
      </c>
      <c r="B46" s="11" t="inlineStr">
        <is>
          <t>Accepted resolutions</t>
        </is>
      </c>
      <c r="C46" s="11" t="inlineStr">
        <is>
          <t>R9 and R20 restated in S56 with B-27 (R9 applicable with the cable; R20 lowered to Low), and R33's mitigation naming the node's own sampling settings (D-47): approved by the Principal on 2026-10-17 with those recommendations (sheet 3).</t>
        </is>
      </c>
      <c r="D46" s="16" t="inlineStr">
        <is>
          <t>Yes</t>
        </is>
      </c>
      <c r="E46" s="17" t="n"/>
    </row>
  </sheetData>
  <autoFilter ref="A4:E46"/>
  <conditionalFormatting sqref="D5:D46">
    <cfRule type="cellIs" priority="1" operator="equal" dxfId="0">
      <formula>"Yes"</formula>
    </cfRule>
    <cfRule type="cellIs" priority="2" operator="equal" dxfId="0">
      <formula>"N/A"</formula>
    </cfRule>
    <cfRule type="cellIs" priority="3" operator="equal" dxfId="1">
      <formula>"No"</formula>
    </cfRule>
  </conditionalFormatting>
  <dataValidations count="1">
    <dataValidation sqref="D5:D46" showDropDown="0" showInputMessage="0" showErrorMessage="1" allowBlank="1" errorTitle="Invalid entry" error="Pick a value from the list." promptTitle="Choose" prompt="Pick one: Yes / No / N/A" type="list" errorStyle="stop">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0"/>
  <sheetViews>
    <sheetView showGridLines="0" workbookViewId="0">
      <pane ySplit="3" topLeftCell="A4" activePane="bottomLeft" state="frozen"/>
      <selection pane="bottomLeft" activeCell="A1" sqref="A1"/>
    </sheetView>
  </sheetViews>
  <sheetFormatPr baseColWidth="8" defaultRowHeight="15"/>
  <cols>
    <col width="24" customWidth="1" min="1" max="1"/>
    <col width="34" customWidth="1" min="2" max="2"/>
    <col width="34" customWidth="1" min="3" max="3"/>
    <col width="34" customWidth="1" min="4" max="4"/>
    <col width="30" customWidth="1" min="5" max="5"/>
    <col width="20" customWidth="1" min="6" max="6"/>
  </cols>
  <sheetData>
    <row r="1">
      <c r="A1" s="1" t="inlineStr">
        <is>
          <t>Ref Engines</t>
        </is>
      </c>
    </row>
    <row r="2">
      <c r="A2" s="2" t="inlineStr">
        <is>
          <t>Sections 5.1, 5.3, 6.1 and 6.2 (v0.4.0). The Day 1 engines and their quantisations, the engines phased after Day 1, the resident small models, the two hemispheres, and the final persona-to-engine map with each seat's Day 1 fallback.</t>
        </is>
      </c>
    </row>
    <row r="4">
      <c r="A4" s="3" t="inlineStr">
        <is>
          <t>The Day 1 LLM engines (one LLM seat resident at a time; exactly one generates at a time)</t>
        </is>
      </c>
    </row>
    <row r="5">
      <c r="A5" s="10" t="inlineStr">
        <is>
          <t>Engine</t>
        </is>
      </c>
      <c r="B5" s="10" t="inlineStr">
        <is>
          <t>Architecture</t>
        </is>
      </c>
      <c r="C5" s="10" t="inlineStr">
        <is>
          <t>Quantisation</t>
        </is>
      </c>
      <c r="D5" s="10" t="inlineStr">
        <is>
          <t>File</t>
        </is>
      </c>
      <c r="E5" s="10" t="inlineStr">
        <is>
          <t>Decode</t>
        </is>
      </c>
      <c r="F5" s="10" t="inlineStr">
        <is>
          <t>Role</t>
        </is>
      </c>
    </row>
    <row r="6">
      <c r="A6" s="11" t="inlineStr">
        <is>
          <t>GLM-5.3-Flash (glm-5.3-flash, MIT)</t>
        </is>
      </c>
      <c r="B6" s="11" t="inlineStr">
        <is>
          <t>320B MoE, 18B active (glm5-next, first in llama.cpp b11279, hence the re-pin, 3.4); natively multimodal through its glm5v projector</t>
        </is>
      </c>
      <c r="C6" s="11" t="inlineStr">
        <is>
          <t>UD-IQ4_XS, the one lossy rung of the set (published mean KLD 0.117 and 88.2% same top token, UNVERIFIED on this node); provisional on every seat until the Phase 3 KLD run (T-03, D-02)</t>
        </is>
      </c>
      <c r="D6" s="11" t="inlineStr">
        <is>
          <t>157.95 GB: 156.82 GB in five shards plus the 1.13 GB mmproj-F16.gguf at the repository root (147.10 GiB)</t>
        </is>
      </c>
      <c r="E6" s="11" t="inlineStr">
        <is>
          <t>12–14 tok/s projected (Section 2)</t>
        </is>
      </c>
      <c r="F6" s="11" t="inlineStr">
        <is>
          <t>The default resident seat (D-23). Ren, Gideon, Silas, Helena, Minerva, Victor, Alaric and Eleanor's persona work (P-10); the vision engine (D-20 (a)); the long-document route (D-38 (a)); the Deep Think generator (D-22)</t>
        </is>
      </c>
    </row>
    <row r="7">
      <c r="A7" s="11" t="inlineStr">
        <is>
          <t>DeepSeek-V4-Flash-0731 (deepseek-v4-flash, MIT)</t>
        </is>
      </c>
      <c r="B7" s="11" t="inlineStr">
        <is>
          <t>284B MoE, 13B active (deepseek4)</t>
        </is>
      </c>
      <c r="C7" s="11" t="inlineStr">
        <is>
          <t>UD-Q8_K_XL, raised from UD-Q4_K_XL: bit-exact to the released weights (D-11 (a), S-42)</t>
        </is>
      </c>
      <c r="D7" s="11" t="inlineStr">
        <is>
          <t>161.87 GB in five files (150.75 GiB)</t>
        </is>
      </c>
      <c r="E7" s="11" t="inlineStr">
        <is>
          <t>About 7 tok/s projected on mainline Vulkan, a floor (Section 2)</t>
        </is>
      </c>
      <c r="F7" s="11" t="inlineStr">
        <is>
          <t>The Apex engine and Arthur's default seat (P-02). TF_OMEGA, the Deep Think adversary and synthesis (D-22), strong cross-checks (D-39 (a)). Runs alone</t>
        </is>
      </c>
    </row>
    <row r="8">
      <c r="A8" s="11" t="inlineStr">
        <is>
          <t>gpt-oss-120b (gpt-oss-120b, Apache 2.0)</t>
        </is>
      </c>
      <c r="B8" s="11" t="inlineStr">
        <is>
          <t>117B MoE, 5.1B active (gpt-oss)</t>
        </is>
      </c>
      <c r="C8" s="11" t="inlineStr">
        <is>
          <t>F16 trunk, experts in native MXFP4 (D-59 (b))</t>
        </is>
      </c>
      <c r="D8" s="11" t="inlineStr">
        <is>
          <t>65.37 GB, one file (60.88 GiB)</t>
        </is>
      </c>
      <c r="E8" s="11" t="inlineStr">
        <is>
          <t>41–44 tok/s projected for this file (S56, D-33; INFERRED: about 5 GB read per token; v0.4.0 said 57–60, computed for the Q8_0-trunk file); 53.8–55.6 measured with that MXFP4 file on 128 GB Ryzen AI Max+ 395 machines</t>
        </is>
      </c>
      <c r="F8" s="11" t="inlineStr">
        <is>
          <t>The fast utility and the fallback floor (D-12 (a), D-40 (a)): drafting, Sentinel escalation (9.3), the Day 1 Deep Think third opinion (9.1) and the Day 1 fallback of every seat whose planned runner-up is phased (6.2). No longer the default resident engine</t>
        </is>
      </c>
    </row>
    <row r="9">
      <c r="A9" s="11" t="inlineStr">
        <is>
          <t>gpt-oss-120b abliterated (Huihui)</t>
        </is>
      </c>
      <c r="B9" s="11" t="inlineStr">
        <is>
          <t>Same weights, refusals removed</t>
        </is>
      </c>
      <c r="C9" s="11" t="inlineStr">
        <is>
          <t>MXFP4, re-quantised (Section 23: the abliteration is applied to the BF16 upcast; the MXFP4 GGUF is a requant, same size and speed, the "no accuracy cost" argument below does not transfer)</t>
        </is>
      </c>
      <c r="D9" s="11" t="inlineStr">
        <is>
          <t>63 GB</t>
        </is>
      </c>
      <c r="E9" s="11" t="inlineStr">
        <is>
          <t>Same</t>
        </is>
      </c>
      <c r="F9" s="11" t="inlineStr">
        <is>
          <t>Valerie default; Ren and Arthur on explicit override</t>
        </is>
      </c>
    </row>
    <row r="10">
      <c r="A10" s="2" t="inlineStr">
        <is>
          <t>v0.4.0 (approved by the Principal on 2026-10-16): GLM-5.3-Flash UD-IQ4_XS is the default resident seat, the vision engine (its glm5v projector loads on the same unit) and the long-document route; DeepSeek-V4-Flash-0731 UD-Q8_K_XL is Arthur's seat and the Apex; gpt-oss-120b is the fast utility and the fallback floor. Qwen2.5-VL-72B, Meditron-70B, Qwen3.5-122B-A10B and the bge pair leave the roster, and Nemotron 3 Super becomes a phased pull. Sizes are decimal GB as Hugging Face lists them; the Arbiter budgets the exact bytes in GiB (D-31). Phase 3 pulls about 448 GB. Since 2026-10-17 (S56, D-33, D-47) gpt-oss-120b, GLM-5.3-Flash and DeepSeek-V4-Flash-0731 have decode floors at 8k (25, 6 and 4 tok/s; the abliterated twin keeps its v0.3.5 band) and gpt-oss-120b is projected at 41-44.</t>
        </is>
      </c>
    </row>
    <row r="12">
      <c r="A12" s="3" t="inlineStr">
        <is>
          <t>Phased after Day 1: recorded in the phased list of engines.json, not pulled, rendered or routed on Day 1</t>
        </is>
      </c>
    </row>
    <row r="13">
      <c r="A13" s="10" t="inlineStr">
        <is>
          <t>Planned engine</t>
        </is>
      </c>
      <c r="B13" s="10" t="inlineStr">
        <is>
          <t>Architecture</t>
        </is>
      </c>
      <c r="C13" s="10" t="inlineStr">
        <is>
          <t>Planned file</t>
        </is>
      </c>
      <c r="D13" s="10" t="inlineStr">
        <is>
          <t>Size</t>
        </is>
      </c>
      <c r="E13" s="10" t="inlineStr">
        <is>
          <t>Planned role</t>
        </is>
      </c>
      <c r="F13" s="10" t="inlineStr">
        <is>
          <t>Also waits on</t>
        </is>
      </c>
    </row>
    <row r="14">
      <c r="A14" s="11" t="inlineStr">
        <is>
          <t>Qwen3.8-Flash-Next (qwen3.8-flash-next, Qwen Community 1.0, D-03)</t>
        </is>
      </c>
      <c r="B14" s="11" t="inlineStr">
        <is>
          <t>125B MoE plus 51B of n-gram embeddings, 6B active (qwen4exp; b11330 or later)</t>
        </is>
      </c>
      <c r="C14" s="11" t="inlineStr">
        <is>
          <t>unsloth UD-Q6_K_XL, six files (D-28 (a))</t>
        </is>
      </c>
      <c r="D14" s="11" t="inlineStr">
        <is>
          <t>169.17 GB (157.55 GiB)</t>
        </is>
      </c>
      <c r="E14" s="11" t="inlineStr">
        <is>
          <t>The Deep Think third opinion (S-43; gpt-oss-120b on Day 1); runner-up for Ren and Victor (D-40); corporate challenger</t>
        </is>
      </c>
      <c r="F14" s="11" t="inlineStr">
        <is>
          <t>Its weights alone exceed the ~156 GiB budget (4.1), so D-28 option (c), UD-Q5_K_XL (158.29 GB, 147.42 GiB), applies unless the measured budget allows (a); T-08</t>
        </is>
      </c>
    </row>
    <row r="15">
      <c r="A15" s="11" t="inlineStr">
        <is>
          <t>Nemotron 3 Super (nemotron-3-super, NVIDIA Nemotron Open Model License, D-04)</t>
        </is>
      </c>
      <c r="B15" s="11" t="inlineStr">
        <is>
          <t>120.6B MoE, 12.7B active (nemotron_h_moe)</t>
        </is>
      </c>
      <c r="C15" s="11" t="inlineStr">
        <is>
          <t>unsloth Q8_0, four shards</t>
        </is>
      </c>
      <c r="D15" s="11" t="inlineStr">
        <is>
          <t>128.47 GB (119.65 GiB)</t>
        </is>
      </c>
      <c r="E15" s="11" t="inlineStr">
        <is>
          <t>Long-context utility (a 1M-token window) and the long-document runner-up (D-13 (b), D-38); no longer Arthur's default</t>
        </is>
      </c>
      <c r="F15" s="11" t="inlineStr">
        <is>
          <t>T-12: an alive check after a prompt of 20K tokens or more (#20732, B-32)</t>
        </is>
      </c>
    </row>
    <row r="16">
      <c r="A16" s="11" t="inlineStr">
        <is>
          <t>Intern-S1 (intern-s1, Apache 2.0)</t>
        </is>
      </c>
      <c r="B16" s="11" t="inlineStr">
        <is>
          <t>235B MoE, 22B active (qwen3moe)</t>
        </is>
      </c>
      <c r="C16" s="11" t="inlineStr">
        <is>
          <t>bartowski Q5_K_S, five files, text only (no mmproj); a q8_0 K and V cache with the pin's rotation at 1 × 32,768 tokens (D-16, approved 2026-10-17, S56)</t>
        </is>
      </c>
      <c r="D16" s="11" t="inlineStr">
        <is>
          <t>161.96 GB (150.84 GiB)</t>
        </is>
      </c>
      <c r="E16" s="11" t="inlineStr">
        <is>
          <t>Science seat for domains 15, 35 and 36 (D-17), reached as in 8.4; Minerva's runner-up (D-40)</t>
        </is>
      </c>
      <c r="F16" s="11" t="inlineStr">
        <is>
          <t>155.96 GiB projected, with 28,672 or 40,960 tokens as the measured budget allows (4.1); the q8_0 quality gate at its pull (T-03), with Q4_K_M (142.65 GB, 132.86 GiB) and an f16 cache at 40,960 if it fails</t>
        </is>
      </c>
    </row>
    <row r="17">
      <c r="A17" s="11" t="inlineStr">
        <is>
          <t>Ling-3.0-flash-Fin (ling-3.0-flash-fin, MIT)</t>
        </is>
      </c>
      <c r="B17" s="11" t="inlineStr">
        <is>
          <t>124B MoE, 5.1B active (bailingmoe3)</t>
        </is>
      </c>
      <c r="C17" s="11" t="inlineStr">
        <is>
          <t>bartowski Q8_0, four files</t>
        </is>
      </c>
      <c r="D17" s="11" t="inlineStr">
        <is>
          <t>135.63 GB (126.32 GiB)</t>
        </is>
      </c>
      <c r="E17" s="11" t="inlineStr">
        <is>
          <t>Silas's finance-tuned second engine and runner-up (D-18, D-40), on TF_GAMMA, TF_DELTA and TF_EPSILON (8.4)</t>
        </is>
      </c>
      <c r="F17" s="11" t="inlineStr">
        <is>
          <t>Nothing beyond the event above</t>
        </is>
      </c>
    </row>
    <row r="18">
      <c r="A18" s="11" t="inlineStr">
        <is>
          <t>Baichuan-M3-235B (baichuan-m3-235b, Apache 2.0)</t>
        </is>
      </c>
      <c r="B18" s="11" t="inlineStr">
        <is>
          <t>235B MoE, 22B active (qwen3moe)</t>
        </is>
      </c>
      <c r="C18" s="11" t="inlineStr">
        <is>
          <t>mradermacher's imatrix i1-Q5_K_S, one file (Baichuan-M3-235B.i1-Q5_K_S.gguf, the same size as the static Q5_K_S it replaces); a q8_0 K and V cache with the pin's rotation at 1 × 32,768 tokens (D-16, approved 2026-10-17, S56)</t>
        </is>
      </c>
      <c r="D18" s="11" t="inlineStr">
        <is>
          <t>161.88 GB (150.76 GiB)</t>
        </is>
      </c>
      <c r="E18" s="11" t="inlineStr">
        <is>
          <t>Minerva's medical cross-check (D-15 (a), S-31), on TF_UPSILON; replaces Meditron-70B</t>
        </is>
      </c>
      <c r="F18" s="11" t="inlineStr">
        <is>
          <t>T-11 (no independent score; it loads the i1 file); 155.88 GiB projected, with 28,672 or 40,960 tokens as for Intern-S1 (4.1); the q8_0 quality gate, with the official Q4_K_M (143.78 GB, 133.91 GiB) and an f16 cache at 40,960 if it fails. Recorded, not built: when it takes over Minerva's checks, the cross-check's 400-token cap (atlas/approval.py:386) must rise to cover its reasoning (D-30), and the cited sources must travel with the draft</t>
        </is>
      </c>
    </row>
    <row r="19">
      <c r="A19" s="2" t="inlineStr">
        <is>
          <t>Where a persona's approved runner-up is one of these, its Day 1 fallback is gpt-oss-120b. To-do for each: the post-Day-1 pull, with the same checksum and load tests; the event: the Phase 3 gate passed with the measured budget recorded. Since 2026-10-17 (S56, D-16) Intern-S1 and Baichuan-M3 (on the i1-Q5_K_S file) run Q5_K_S with a q8_0 cache, the pin's rotation and one 32,768-token slot (about 155.9 GiB projected); Qwen3-Coder-Next and EmbeddingGemma 2 left the list (D-19 (c), D-60 (b)).</t>
        </is>
      </c>
    </row>
    <row r="21">
      <c r="A21" s="3" t="inlineStr">
        <is>
          <t>Resident small models (D16, reopening D4)</t>
        </is>
      </c>
    </row>
    <row r="22">
      <c r="A22" s="10" t="inlineStr">
        <is>
          <t>Role</t>
        </is>
      </c>
      <c r="B22" s="10" t="inlineStr">
        <is>
          <t>Requirement</t>
        </is>
      </c>
      <c r="C22" s="10" t="inlineStr">
        <is>
          <t>Day 1 model (v0.4.0)</t>
        </is>
      </c>
    </row>
    <row r="23">
      <c r="A23" s="11" t="inlineStr">
        <is>
          <t>Eleanor's router and classifier</t>
        </is>
      </c>
      <c r="B23" s="11" t="inlineStr">
        <is>
          <t>~4B, instruction-following, fast, always resident, separate from the seat</t>
        </is>
      </c>
      <c r="C23" s="11" t="inlineStr">
        <is>
          <t>Qwen3.5-4B Q8_0 (router-qwen3.5-4b), 4.48 GB, on the iGPU: unchanged (C-01)</t>
        </is>
      </c>
    </row>
    <row r="24">
      <c r="A24" s="11" t="inlineStr">
        <is>
          <t>Embeddings</t>
        </is>
      </c>
      <c r="B24" s="11" t="inlineStr">
        <is>
          <t>Multilingual-ready, strong retrieval</t>
        </is>
      </c>
      <c r="C24" s="11" t="inlineStr">
        <is>
          <t>Qwen3-Embedding-4B Q8_0 (embed-qwen3-4b), 4.28 GB, on the CPU, its vectors truncated to the 1024-dim schema (C-02, S-41, 10.1)</t>
        </is>
      </c>
    </row>
    <row r="25">
      <c r="A25" s="11" t="inlineStr">
        <is>
          <t>Reranker</t>
        </is>
      </c>
      <c r="B25" s="11" t="inlineStr">
        <is>
          <t>Improves RAG precision</t>
        </is>
      </c>
      <c r="C25" s="11" t="inlineStr">
        <is>
          <t>Qwen3-Reranker-4B Q8_0 (rerank-qwen3-4b), a 4.28 GB conversion that carries the rank head, on the CPU (C-03)</t>
        </is>
      </c>
    </row>
    <row r="26">
      <c r="A26" s="2" t="inlineStr">
        <is>
          <t>The router stays at 4B and does classification only (P-10); Eleanor's own persona work runs on GLM-5.3-Flash. The Qwen3 embedder and reranker run on the CPU (--device none), indexed before Day 1 with the 1024-dim schema kept by truncation (D-45 (a)), and the Arbiter charges them as a host resident set. The reranker has no caller on Day 1 (to-do).</t>
        </is>
      </c>
    </row>
    <row r="28">
      <c r="A28" s="3" t="inlineStr">
        <is>
          <t>The two hemispheres</t>
        </is>
      </c>
    </row>
    <row r="29">
      <c r="A29" s="10" t="inlineStr">
        <is>
          <t>Attribute</t>
        </is>
      </c>
      <c r="B29" s="10" t="inlineStr">
        <is>
          <t>Ren Ackerman — Vanguard, Prime Director</t>
        </is>
      </c>
      <c r="C29" s="10" t="inlineStr">
        <is>
          <t>Arthur Sterling — Architect, Estate Manager</t>
        </is>
      </c>
    </row>
    <row r="30">
      <c r="A30" s="11" t="inlineStr">
        <is>
          <t>Hemisphere</t>
        </is>
      </c>
      <c r="B30" s="11" t="inlineStr">
        <is>
          <t>Offensive, creative, expansive, outward-facing</t>
        </is>
      </c>
      <c r="C30" s="11" t="inlineStr">
        <is>
          <t>Defensive, regimented, private, guardian of personal data</t>
        </is>
      </c>
    </row>
    <row r="31">
      <c r="A31" s="11" t="inlineStr">
        <is>
          <t>Domain mandate</t>
        </is>
      </c>
      <c r="B31" s="11" t="inlineStr">
        <is>
          <t>Corporate, Enterprise, Infrastructure, AEC</t>
        </is>
      </c>
      <c r="C31" s="11" t="inlineStr">
        <is>
          <t>Estate, Private Health, Logistics, Family</t>
        </is>
      </c>
    </row>
    <row r="32">
      <c r="A32" s="11" t="inlineStr">
        <is>
          <t>Default engine</t>
        </is>
      </c>
      <c r="B32" s="11" t="inlineStr">
        <is>
          <t>GLM-5.3-Flash (v0.4.0, P-01; was gpt-oss-120b)</t>
        </is>
      </c>
      <c r="C32" s="11" t="inlineStr">
        <is>
          <t>DeepSeek-V4-Flash-0731, the Apex engine's own unit (v0.4.0, P-02; was Nemotron 3 Super)</t>
        </is>
      </c>
    </row>
    <row r="33">
      <c r="A33" s="11" t="inlineStr">
        <is>
          <t>Override engine</t>
        </is>
      </c>
      <c r="B33" s="11" t="inlineStr">
        <is>
          <t>gpt-oss-120b abliterated, on Principal's order</t>
        </is>
      </c>
      <c r="C33" s="11" t="inlineStr">
        <is>
          <t>GLM-5.3-Flash for deep document reasoning, the long-document route (v0.4.0, D-38 (a); was Qwen3.5-122B-A10B); and the abliterated engine on the Principal's explicit command (C6 addendum)</t>
        </is>
      </c>
    </row>
    <row r="34">
      <c r="A34" s="11" t="inlineStr">
        <is>
          <t>Apex escalation</t>
        </is>
      </c>
      <c r="B34" s="11" t="inlineStr">
        <is>
          <t>DeepSeek-V4-Flash-0731, on Deep Think deep tier or TF_OMEGA</t>
        </is>
      </c>
      <c r="C34" s="11" t="inlineStr">
        <is>
          <t>The same engine as his default since v0.4.0, so TF_OMEGA and the deep tier's synthesis cost Arthur no swap</t>
        </is>
      </c>
    </row>
    <row r="35">
      <c r="A35" s="11" t="inlineStr">
        <is>
          <t>Fallback engine (v0.4.0, D-40 (a))</t>
        </is>
      </c>
      <c r="B35" s="11" t="inlineStr">
        <is>
          <t>gpt-oss-120b on Day 1 (his runner-up, Qwen3.8-Flash-Next, is phased)</t>
        </is>
      </c>
      <c r="C35" s="11" t="inlineStr">
        <is>
          <t>GLM-5.3-Flash</t>
        </is>
      </c>
    </row>
    <row r="36">
      <c r="A36" s="11" t="inlineStr">
        <is>
          <t>Sampling</t>
        </is>
      </c>
      <c r="B36" s="11" t="inlineStr">
        <is>
          <t>High temperature (0.8) as Deep Think Generator</t>
        </is>
      </c>
      <c r="C36" s="11" t="inlineStr">
        <is>
          <t>Low temperature, not zero, as Deep Think Adversary</t>
        </is>
      </c>
    </row>
    <row r="37">
      <c r="A37" s="11" t="inlineStr">
        <is>
          <t>Deep Think role</t>
        </is>
      </c>
      <c r="B37" s="11" t="inlineStr">
        <is>
          <t>Generator: three divergent trajectories, on GLM-5.3-Flash</t>
        </is>
      </c>
      <c r="C37" s="11" t="inlineStr">
        <is>
          <t>Adversary: rubric-scored verdict, weak concepts killed, on DeepSeek-V4-Flash-0731</t>
        </is>
      </c>
    </row>
    <row r="38">
      <c r="A38" s="11" t="inlineStr">
        <is>
          <t>Code path</t>
        </is>
      </c>
      <c r="B38" s="11" t="inlineStr">
        <is>
          <t>Writes sandbox code</t>
        </is>
      </c>
      <c r="C38" s="11" t="inlineStr">
        <is>
          <t>Audits code for memory and safety before execution, as a second layer over the OS-level sandbox cap</t>
        </is>
      </c>
    </row>
    <row r="39">
      <c r="A39" s="11" t="inlineStr">
        <is>
          <t>Directors</t>
        </is>
      </c>
      <c r="B39" s="11" t="inlineStr">
        <is>
          <t>Gideon, Silas, Valerie, Helena, Eleanor</t>
        </is>
      </c>
      <c r="C39" s="11" t="inlineStr">
        <is>
          <t>Alaric, Minerva, Victor</t>
        </is>
      </c>
    </row>
    <row r="41">
      <c r="A41" s="3" t="inlineStr">
        <is>
          <t>Shadow Cabinet engine map (each seat's Day 1 fallback in the Override column)</t>
        </is>
      </c>
    </row>
    <row r="42">
      <c r="A42" s="10" t="inlineStr">
        <is>
          <t>Director</t>
        </is>
      </c>
      <c r="B42" s="10" t="inlineStr">
        <is>
          <t>Division</t>
        </is>
      </c>
      <c r="C42" s="10" t="inlineStr">
        <is>
          <t>Remit</t>
        </is>
      </c>
      <c r="D42" s="10" t="inlineStr">
        <is>
          <t>Default engine</t>
        </is>
      </c>
      <c r="E42" s="10" t="inlineStr">
        <is>
          <t>Override</t>
        </is>
      </c>
      <c r="F42" s="10" t="inlineStr">
        <is>
          <t>Speaks externally</t>
        </is>
      </c>
    </row>
    <row r="43">
      <c r="A43" s="11" t="inlineStr">
        <is>
          <t>Gideon Vance</t>
        </is>
      </c>
      <c r="B43" s="11" t="inlineStr">
        <is>
          <t>Corporate</t>
        </is>
      </c>
      <c r="C43" s="11" t="inlineStr">
        <is>
          <t>Legal &amp; Compliance</t>
        </is>
      </c>
      <c r="D43" s="11" t="inlineStr">
        <is>
          <t>GLM-5.3-Flash, high reasoning, retrieval-grounded (P-03; was gpt-oss-120b)</t>
        </is>
      </c>
      <c r="E43" s="11" t="inlineStr">
        <is>
          <t>Apex engine (DeepSeek-V4-Flash-0731) for TF_OMEGA; long contracts stay on GLM, the long-document engine (Qwen3.5-122B retired). Fallback: DeepSeek-V4-Flash-0731</t>
        </is>
      </c>
      <c r="F43" s="11" t="inlineStr">
        <is>
          <t>Yes, sensitive tier</t>
        </is>
      </c>
    </row>
    <row r="44">
      <c r="A44" s="11" t="inlineStr">
        <is>
          <t>Silas Thorne</t>
        </is>
      </c>
      <c r="B44" s="11" t="inlineStr">
        <is>
          <t>Corporate</t>
        </is>
      </c>
      <c r="C44" s="11" t="inlineStr">
        <is>
          <t>CFO: capital, audit, banking</t>
        </is>
      </c>
      <c r="D44" s="11" t="inlineStr">
        <is>
          <t>GLM-5.3-Flash + code interpreter for all arithmetic (P-04; was Nemotron 3 Super)</t>
        </is>
      </c>
      <c r="E44" s="11" t="inlineStr">
        <is>
          <t>none on Day 1; Ling-3.0-flash-Fin planned (D-18, phased). Fallback: gpt-oss-120b</t>
        </is>
      </c>
      <c r="F44" s="11" t="inlineStr">
        <is>
          <t>Yes, standard tier</t>
        </is>
      </c>
    </row>
    <row r="45">
      <c r="A45" s="11" t="inlineStr">
        <is>
          <t>Valerie Cross</t>
        </is>
      </c>
      <c r="B45" s="11" t="inlineStr">
        <is>
          <t>Corporate</t>
        </is>
      </c>
      <c r="C45" s="11" t="inlineStr">
        <is>
          <t>Infrastructure, DevOps, AEC, cyber, AEGIS Sandbox</t>
        </is>
      </c>
      <c r="D45" s="11" t="inlineStr">
        <is>
          <t>gpt-oss-120b abliterated</t>
        </is>
      </c>
      <c r="E45" s="11" t="inlineStr">
        <is>
          <t>none on Day 1: Qwen2.5-VL-72B is retired (S-10); Intern-S1 planned (S-32, phased); Qwen3-Coder-Next dropped (D-19 (c), 2026-10-17)</t>
        </is>
      </c>
      <c r="F45" s="11" t="inlineStr">
        <is>
          <t>Yes, standard tier</t>
        </is>
      </c>
    </row>
    <row r="46">
      <c r="A46" s="11" t="inlineStr">
        <is>
          <t>Helena Frost</t>
        </is>
      </c>
      <c r="B46" s="11" t="inlineStr">
        <is>
          <t>Corporate</t>
        </is>
      </c>
      <c r="C46" s="11" t="inlineStr">
        <is>
          <t>Communications, brand, PR, crisis</t>
        </is>
      </c>
      <c r="D46" s="11" t="inlineStr">
        <is>
          <t>GLM-5.3-Flash (P-06; was gpt-oss-120b)</t>
        </is>
      </c>
      <c r="E46" s="11" t="inlineStr">
        <is>
          <t>none. Fallback: DeepSeek-V4-Flash-0731</t>
        </is>
      </c>
      <c r="F46" s="11" t="inlineStr">
        <is>
          <t>Yes, standard tier</t>
        </is>
      </c>
    </row>
    <row r="47">
      <c r="A47" s="11" t="inlineStr">
        <is>
          <t>Eleanor Croft</t>
        </is>
      </c>
      <c r="B47" s="11" t="inlineStr">
        <is>
          <t>Corporate</t>
        </is>
      </c>
      <c r="C47" s="11" t="inlineStr">
        <is>
          <t>Routing, scheduling, triage; the 4-Way Router's classifier</t>
        </is>
      </c>
      <c r="D47" s="11" t="inlineStr">
        <is>
          <t>GLM-5.3-Flash for her persona work (P-10; was the resident 4B model); classification stays on the resident 4B router (5.3)</t>
        </is>
      </c>
      <c r="E47" s="11" t="inlineStr">
        <is>
          <t>none. Fallback: gpt-oss-120b</t>
        </is>
      </c>
      <c r="F47" s="11" t="inlineStr">
        <is>
          <t>Yes, routine tier (scheduling)</t>
        </is>
      </c>
    </row>
    <row r="48">
      <c r="A48" s="11" t="inlineStr">
        <is>
          <t>Alaric Stone</t>
        </is>
      </c>
      <c r="B48" s="11" t="inlineStr">
        <is>
          <t>Estate</t>
        </is>
      </c>
      <c r="C48" s="11" t="inlineStr">
        <is>
          <t>Physical assets, security, threat mitigation; Sentinel threat watch</t>
        </is>
      </c>
      <c r="D48" s="11" t="inlineStr">
        <is>
          <t>GLM-5.3-Flash (was Nemotron 3 Super)</t>
        </is>
      </c>
      <c r="E48" s="11" t="inlineStr">
        <is>
          <t>none. Fallback: gpt-oss-120b</t>
        </is>
      </c>
      <c r="F48" s="11" t="inlineStr">
        <is>
          <t>Yes, sensitive tier</t>
        </is>
      </c>
    </row>
    <row r="49">
      <c r="A49" s="11" t="inlineStr">
        <is>
          <t>Minerva Hale</t>
        </is>
      </c>
      <c r="B49" s="11" t="inlineStr">
        <is>
          <t>Estate</t>
        </is>
      </c>
      <c r="C49" s="11" t="inlineStr">
        <is>
          <t>Private health, longevity; medical data</t>
        </is>
      </c>
      <c r="D49" s="11" t="inlineStr">
        <is>
          <t>GLM-5.3-Flash, retrieval-grounded (P-07; was gpt-oss-120b), which also reads her scans and long records</t>
        </is>
      </c>
      <c r="E49" s="11" t="inlineStr">
        <is>
          <t>Strong cross-check by Arthur on DeepSeek-V4-Flash-0731 on Day 1 (9.2); Baichuan-M3-235B cross-check and Intern-S1 planned (D-15, D-17, phased). Fallback: gpt-oss-120b</t>
        </is>
      </c>
      <c r="F49" s="11" t="inlineStr">
        <is>
          <t>Yes, sensitive tier</t>
        </is>
      </c>
    </row>
    <row r="50">
      <c r="A50" s="11" t="inlineStr">
        <is>
          <t>Victor Vale</t>
        </is>
      </c>
      <c r="B50" s="11" t="inlineStr">
        <is>
          <t>Estate</t>
        </is>
      </c>
      <c r="C50" s="11" t="inlineStr">
        <is>
          <t>Aviation, transport, concierge</t>
        </is>
      </c>
      <c r="D50" s="11" t="inlineStr">
        <is>
          <t>GLM-5.3-Flash (P-08; was gpt-oss-120b)</t>
        </is>
      </c>
      <c r="E50" s="11" t="inlineStr">
        <is>
          <t>none. Fallback: gpt-oss-120b</t>
        </is>
      </c>
      <c r="F50" s="11" t="inlineStr">
        <is>
          <t>Yes, routine tier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5" topLeftCell="A6" activePane="bottomLeft" state="frozen"/>
      <selection pane="bottomLeft" activeCell="A1" sqref="A1"/>
    </sheetView>
  </sheetViews>
  <sheetFormatPr baseColWidth="8" defaultRowHeight="15"/>
  <cols>
    <col width="6" customWidth="1" min="1" max="1"/>
    <col width="76" customWidth="1" min="2" max="2"/>
    <col width="14" customWidth="1" min="3" max="3"/>
    <col width="34" customWidth="1" min="4" max="4"/>
    <col width="8" customWidth="1" min="5" max="5"/>
  </cols>
  <sheetData>
    <row r="1">
      <c r="A1" s="1" t="inlineStr">
        <is>
          <t>Ref Domains</t>
        </is>
      </c>
    </row>
    <row r="2">
      <c r="A2" s="2" t="inlineStr">
        <is>
          <t>Section 8.2. Thirty original domains retained and six added, thirty-six in all. Tier A loads freely, B on clear match, C on explicit match only. S57 (2026-10-17): a compliance list's Australian law is that of the Commonwealth, VIC, NSW and QLD, the Principal's main locations; Australian Standards are cited by number unless the Principal holds a licence for the text (8.4).</t>
        </is>
      </c>
    </row>
    <row r="4">
      <c r="A4" s="3" t="inlineStr">
        <is>
          <t>Thirty-six domain knowledge profiles</t>
        </is>
      </c>
    </row>
    <row r="5">
      <c r="A5" s="10" t="inlineStr">
        <is>
          <t>#</t>
        </is>
      </c>
      <c r="B5" s="10" t="inlineStr">
        <is>
          <t>Domain</t>
        </is>
      </c>
      <c r="C5" s="10" t="inlineStr">
        <is>
          <t>Hemisphere</t>
        </is>
      </c>
      <c r="D5" s="10" t="inlineStr">
        <is>
          <t>Owner</t>
        </is>
      </c>
      <c r="E5" s="10" t="inlineStr">
        <is>
          <t>Tier</t>
        </is>
      </c>
    </row>
    <row r="6">
      <c r="A6" s="11" t="inlineStr">
        <is>
          <t>1</t>
        </is>
      </c>
      <c r="B6" s="11" t="inlineStr">
        <is>
          <t>Systems Architect &amp; Cybersecurity</t>
        </is>
      </c>
      <c r="C6" s="11" t="inlineStr">
        <is>
          <t>Corporate</t>
        </is>
      </c>
      <c r="D6" s="11" t="inlineStr">
        <is>
          <t>Valerie</t>
        </is>
      </c>
      <c r="E6" s="11" t="inlineStr">
        <is>
          <t>A</t>
        </is>
      </c>
    </row>
    <row r="7">
      <c r="A7" s="11" t="inlineStr">
        <is>
          <t>2</t>
        </is>
      </c>
      <c r="B7" s="11" t="inlineStr">
        <is>
          <t>Growth Executive (marketing, sales, PR, SEO)</t>
        </is>
      </c>
      <c r="C7" s="11" t="inlineStr">
        <is>
          <t>Corporate</t>
        </is>
      </c>
      <c r="D7" s="11" t="inlineStr">
        <is>
          <t>Helena</t>
        </is>
      </c>
      <c r="E7" s="11" t="inlineStr">
        <is>
          <t>A</t>
        </is>
      </c>
    </row>
    <row r="8">
      <c r="A8" s="11" t="inlineStr">
        <is>
          <t>3</t>
        </is>
      </c>
      <c r="B8" s="11" t="inlineStr">
        <is>
          <t>Customer Success &amp; Experience Lead</t>
        </is>
      </c>
      <c r="C8" s="11" t="inlineStr">
        <is>
          <t>Corporate</t>
        </is>
      </c>
      <c r="D8" s="11" t="inlineStr">
        <is>
          <t>Helena</t>
        </is>
      </c>
      <c r="E8" s="11" t="inlineStr">
        <is>
          <t>B</t>
        </is>
      </c>
    </row>
    <row r="9">
      <c r="A9" s="11" t="inlineStr">
        <is>
          <t>4</t>
        </is>
      </c>
      <c r="B9" s="11" t="inlineStr">
        <is>
          <t>Data Scientist &amp; AI Engineer (incl. rapid data analysis)</t>
        </is>
      </c>
      <c r="C9" s="11" t="inlineStr">
        <is>
          <t>Corporate</t>
        </is>
      </c>
      <c r="D9" s="11" t="inlineStr">
        <is>
          <t>Valerie</t>
        </is>
      </c>
      <c r="E9" s="11" t="inlineStr">
        <is>
          <t>A</t>
        </is>
      </c>
    </row>
    <row r="10">
      <c r="A10" s="11" t="inlineStr">
        <is>
          <t>5</t>
        </is>
      </c>
      <c r="B10" s="11" t="inlineStr">
        <is>
          <t>CFO &amp; Controller (incl. financial fraud and risk modelling)</t>
        </is>
      </c>
      <c r="C10" s="11" t="inlineStr">
        <is>
          <t>Corporate</t>
        </is>
      </c>
      <c r="D10" s="11" t="inlineStr">
        <is>
          <t>Silas</t>
        </is>
      </c>
      <c r="E10" s="11" t="inlineStr">
        <is>
          <t>A</t>
        </is>
      </c>
    </row>
    <row r="11">
      <c r="A11" s="11" t="inlineStr">
        <is>
          <t>6</t>
        </is>
      </c>
      <c r="B11" s="11" t="inlineStr">
        <is>
          <t>General Counsel &amp; CHRO (AU construction, strata)</t>
        </is>
      </c>
      <c r="C11" s="11" t="inlineStr">
        <is>
          <t>Corporate</t>
        </is>
      </c>
      <c r="D11" s="11" t="inlineStr">
        <is>
          <t>Gideon</t>
        </is>
      </c>
      <c r="E11" s="11" t="inlineStr">
        <is>
          <t>A</t>
        </is>
      </c>
    </row>
    <row r="12">
      <c r="A12" s="11" t="inlineStr">
        <is>
          <t>7</t>
        </is>
      </c>
      <c r="B12" s="11" t="inlineStr">
        <is>
          <t>Development Director, Property &amp; Real Estate</t>
        </is>
      </c>
      <c r="C12" s="11" t="inlineStr">
        <is>
          <t>Corporate</t>
        </is>
      </c>
      <c r="D12" s="11" t="inlineStr">
        <is>
          <t>Valerie, with Silas</t>
        </is>
      </c>
      <c r="E12" s="11" t="inlineStr">
        <is>
          <t>A</t>
        </is>
      </c>
    </row>
    <row r="13">
      <c r="A13" s="11" t="inlineStr">
        <is>
          <t>8</t>
        </is>
      </c>
      <c r="B13" s="11" t="inlineStr">
        <is>
          <t>AEC Computational Designer &amp; Visualizer</t>
        </is>
      </c>
      <c r="C13" s="11" t="inlineStr">
        <is>
          <t>Corporate</t>
        </is>
      </c>
      <c r="D13" s="11" t="inlineStr">
        <is>
          <t>Valerie</t>
        </is>
      </c>
      <c r="E13" s="11" t="inlineStr">
        <is>
          <t>A</t>
        </is>
      </c>
    </row>
    <row r="14">
      <c r="A14" s="11" t="inlineStr">
        <is>
          <t>9</t>
        </is>
      </c>
      <c r="B14" s="11" t="inlineStr">
        <is>
          <t>Industrial &amp; Energy Engineer (incl. industrial SCADA systems)</t>
        </is>
      </c>
      <c r="C14" s="11" t="inlineStr">
        <is>
          <t>Corporate</t>
        </is>
      </c>
      <c r="D14" s="11" t="inlineStr">
        <is>
          <t>Valerie</t>
        </is>
      </c>
      <c r="E14" s="11" t="inlineStr">
        <is>
          <t>B</t>
        </is>
      </c>
    </row>
    <row r="15">
      <c r="A15" s="11" t="inlineStr">
        <is>
          <t>10</t>
        </is>
      </c>
      <c r="B15" s="11" t="inlineStr">
        <is>
          <t>Chief Medical Officer &amp; Risk Underwriter</t>
        </is>
      </c>
      <c r="C15" s="11" t="inlineStr">
        <is>
          <t>Estate</t>
        </is>
      </c>
      <c r="D15" s="11" t="inlineStr">
        <is>
          <t>Minerva</t>
        </is>
      </c>
      <c r="E15" s="11" t="inlineStr">
        <is>
          <t>A</t>
        </is>
      </c>
    </row>
    <row r="16">
      <c r="A16" s="11" t="inlineStr">
        <is>
          <t>11</t>
        </is>
      </c>
      <c r="B16" s="11" t="inlineStr">
        <is>
          <t>Game Director &amp; Systems Designer</t>
        </is>
      </c>
      <c r="C16" s="11" t="inlineStr">
        <is>
          <t>Corporate</t>
        </is>
      </c>
      <c r="D16" s="11" t="inlineStr">
        <is>
          <t>Helena, with Valerie</t>
        </is>
      </c>
      <c r="E16" s="11" t="inlineStr">
        <is>
          <t>C</t>
        </is>
      </c>
    </row>
    <row r="17">
      <c r="A17" s="11" t="inlineStr">
        <is>
          <t>12</t>
        </is>
      </c>
      <c r="B17" s="11" t="inlineStr">
        <is>
          <t>Creative Director &amp; Narrative Designer</t>
        </is>
      </c>
      <c r="C17" s="11" t="inlineStr">
        <is>
          <t>Corporate</t>
        </is>
      </c>
      <c r="D17" s="11" t="inlineStr">
        <is>
          <t>Helena</t>
        </is>
      </c>
      <c r="E17" s="11" t="inlineStr">
        <is>
          <t>B</t>
        </is>
      </c>
    </row>
    <row r="18">
      <c r="A18" s="11" t="inlineStr">
        <is>
          <t>13</t>
        </is>
      </c>
      <c r="B18" s="11" t="inlineStr">
        <is>
          <t>Dean of Academia &amp; Pedagogy</t>
        </is>
      </c>
      <c r="C18" s="11" t="inlineStr">
        <is>
          <t>Estate</t>
        </is>
      </c>
      <c r="D18" s="11" t="inlineStr">
        <is>
          <t>Arthur, tagged to 14</t>
        </is>
      </c>
      <c r="E18" s="11" t="inlineStr">
        <is>
          <t>C</t>
        </is>
      </c>
    </row>
    <row r="19">
      <c r="A19" s="11" t="inlineStr">
        <is>
          <t>14</t>
        </is>
      </c>
      <c r="B19" s="11" t="inlineStr">
        <is>
          <t>Private Family Advisor &amp; Estate Guardian</t>
        </is>
      </c>
      <c r="C19" s="11" t="inlineStr">
        <is>
          <t>Estate</t>
        </is>
      </c>
      <c r="D19" s="11" t="inlineStr">
        <is>
          <t>Arthur</t>
        </is>
      </c>
      <c r="E19" s="11" t="inlineStr">
        <is>
          <t>A</t>
        </is>
      </c>
    </row>
    <row r="20">
      <c r="A20" s="11" t="inlineStr">
        <is>
          <t>15</t>
        </is>
      </c>
      <c r="B20" s="11" t="inlineStr">
        <is>
          <t>Chief Longevity Officer &amp; Performance Physiologist (incl. bioinformatics, genomics and drug discovery)</t>
        </is>
      </c>
      <c r="C20" s="11" t="inlineStr">
        <is>
          <t>Estate</t>
        </is>
      </c>
      <c r="D20" s="11" t="inlineStr">
        <is>
          <t>Minerva</t>
        </is>
      </c>
      <c r="E20" s="11" t="inlineStr">
        <is>
          <t>A</t>
        </is>
      </c>
    </row>
    <row r="21">
      <c r="A21" s="11" t="inlineStr">
        <is>
          <t>16</t>
        </is>
      </c>
      <c r="B21" s="11" t="inlineStr">
        <is>
          <t>COO &amp; Process Architect (incl. logistics optimisation)</t>
        </is>
      </c>
      <c r="C21" s="11" t="inlineStr">
        <is>
          <t>Corporate</t>
        </is>
      </c>
      <c r="D21" s="11" t="inlineStr">
        <is>
          <t>Eleanor, with Silas</t>
        </is>
      </c>
      <c r="E21" s="11" t="inlineStr">
        <is>
          <t>B</t>
        </is>
      </c>
    </row>
    <row r="22">
      <c r="A22" s="11" t="inlineStr">
        <is>
          <t>17</t>
        </is>
      </c>
      <c r="B22" s="11" t="inlineStr">
        <is>
          <t>High-Stakes Negotiator &amp; Strategic Diplomat</t>
        </is>
      </c>
      <c r="C22" s="11" t="inlineStr">
        <is>
          <t>Corporate</t>
        </is>
      </c>
      <c r="D22" s="11" t="inlineStr">
        <is>
          <t>Ren, with Gideon</t>
        </is>
      </c>
      <c r="E22" s="11" t="inlineStr">
        <is>
          <t>B</t>
        </is>
      </c>
    </row>
    <row r="23">
      <c r="A23" s="11" t="inlineStr">
        <is>
          <t>18</t>
        </is>
      </c>
      <c r="B23" s="11" t="inlineStr">
        <is>
          <t>Global Asset Guardian &amp; HNW Concierge (incl. logistics optimisation)</t>
        </is>
      </c>
      <c r="C23" s="11" t="inlineStr">
        <is>
          <t>Estate</t>
        </is>
      </c>
      <c r="D23" s="11" t="inlineStr">
        <is>
          <t>Victor, with Alaric</t>
        </is>
      </c>
      <c r="E23" s="11" t="inlineStr">
        <is>
          <t>B</t>
        </is>
      </c>
    </row>
    <row r="24">
      <c r="A24" s="11" t="inlineStr">
        <is>
          <t>19</t>
        </is>
      </c>
      <c r="B24" s="11" t="inlineStr">
        <is>
          <t>Travel, Leisure &amp; Global Hospitality Director</t>
        </is>
      </c>
      <c r="C24" s="11" t="inlineStr">
        <is>
          <t>Estate</t>
        </is>
      </c>
      <c r="D24" s="11" t="inlineStr">
        <is>
          <t>Victor</t>
        </is>
      </c>
      <c r="E24" s="11" t="inlineStr">
        <is>
          <t>A</t>
        </is>
      </c>
    </row>
    <row r="25">
      <c r="A25" s="11" t="inlineStr">
        <is>
          <t>20</t>
        </is>
      </c>
      <c r="B25" s="11" t="inlineStr">
        <is>
          <t>Chief AI Officer &amp; Agentic Systems Architect</t>
        </is>
      </c>
      <c r="C25" s="11" t="inlineStr">
        <is>
          <t>Corporate</t>
        </is>
      </c>
      <c r="D25" s="11" t="inlineStr">
        <is>
          <t>Valerie; self-modification gated (Section 16.3)</t>
        </is>
      </c>
      <c r="E25" s="11" t="inlineStr">
        <is>
          <t>B</t>
        </is>
      </c>
    </row>
    <row r="26">
      <c r="A26" s="11" t="inlineStr">
        <is>
          <t>21</t>
        </is>
      </c>
      <c r="B26" s="11" t="inlineStr">
        <is>
          <t>Chief Investment Officer &amp; Quant Strategist (incl. financial fraud and risk modelling)</t>
        </is>
      </c>
      <c r="C26" s="11" t="inlineStr">
        <is>
          <t>Corporate</t>
        </is>
      </c>
      <c r="D26" s="11" t="inlineStr">
        <is>
          <t>Silas</t>
        </is>
      </c>
      <c r="E26" s="11" t="inlineStr">
        <is>
          <t>A</t>
        </is>
      </c>
    </row>
    <row r="27">
      <c r="A27" s="11" t="inlineStr">
        <is>
          <t>22</t>
        </is>
      </c>
      <c r="B27" s="11" t="inlineStr">
        <is>
          <t>Director of OSINT &amp; Executive Protection</t>
        </is>
      </c>
      <c r="C27" s="11" t="inlineStr">
        <is>
          <t>Estate</t>
        </is>
      </c>
      <c r="D27" s="11" t="inlineStr">
        <is>
          <t>Alaric</t>
        </is>
      </c>
      <c r="E27" s="11" t="inlineStr">
        <is>
          <t>A</t>
        </is>
      </c>
    </row>
    <row r="28">
      <c r="A28" s="11" t="inlineStr">
        <is>
          <t>23</t>
        </is>
      </c>
      <c r="B28" s="11" t="inlineStr">
        <is>
          <t>Venture Partner &amp; Private Equity Director</t>
        </is>
      </c>
      <c r="C28" s="11" t="inlineStr">
        <is>
          <t>Corporate</t>
        </is>
      </c>
      <c r="D28" s="11" t="inlineStr">
        <is>
          <t>Silas, with Gideon</t>
        </is>
      </c>
      <c r="E28" s="11" t="inlineStr">
        <is>
          <t>B</t>
        </is>
      </c>
    </row>
    <row r="29">
      <c r="A29" s="11" t="inlineStr">
        <is>
          <t>24</t>
        </is>
      </c>
      <c r="B29" s="11" t="inlineStr">
        <is>
          <t>Director of Philanthropy, CSR &amp; Community</t>
        </is>
      </c>
      <c r="C29" s="11" t="inlineStr">
        <is>
          <t>Both</t>
        </is>
      </c>
      <c r="D29" s="11" t="inlineStr">
        <is>
          <t>Arthur and Ren</t>
        </is>
      </c>
      <c r="E29" s="11" t="inlineStr">
        <is>
          <t>B</t>
        </is>
      </c>
    </row>
    <row r="30">
      <c r="A30" s="11" t="inlineStr">
        <is>
          <t>25</t>
        </is>
      </c>
      <c r="B30" s="11" t="inlineStr">
        <is>
          <t>Geopolitical Strategist &amp; Public Affairs Lead</t>
        </is>
      </c>
      <c r="C30" s="11" t="inlineStr">
        <is>
          <t>Corporate</t>
        </is>
      </c>
      <c r="D30" s="11" t="inlineStr">
        <is>
          <t>Ren</t>
        </is>
      </c>
      <c r="E30" s="11" t="inlineStr">
        <is>
          <t>B</t>
        </is>
      </c>
    </row>
    <row r="31">
      <c r="A31" s="11" t="inlineStr">
        <is>
          <t>26</t>
        </is>
      </c>
      <c r="B31" s="11" t="inlineStr">
        <is>
          <t>Cultural Asset &amp; Fine Art Curator</t>
        </is>
      </c>
      <c r="C31" s="11" t="inlineStr">
        <is>
          <t>Estate</t>
        </is>
      </c>
      <c r="D31" s="11" t="inlineStr">
        <is>
          <t>Alaric, with Silas</t>
        </is>
      </c>
      <c r="E31" s="11" t="inlineStr">
        <is>
          <t>C</t>
        </is>
      </c>
    </row>
    <row r="32">
      <c r="A32" s="11" t="inlineStr">
        <is>
          <t>27</t>
        </is>
      </c>
      <c r="B32" s="11" t="inlineStr">
        <is>
          <t>Director of Digital Influence &amp; Synthetic Media</t>
        </is>
      </c>
      <c r="C32" s="11" t="inlineStr">
        <is>
          <t>Corporate</t>
        </is>
      </c>
      <c r="D32" s="11" t="inlineStr">
        <is>
          <t>Helena; phrasing softened (Section 18 C9)</t>
        </is>
      </c>
      <c r="E32" s="11" t="inlineStr">
        <is>
          <t>B</t>
        </is>
      </c>
    </row>
    <row r="33">
      <c r="A33" s="11" t="inlineStr">
        <is>
          <t>28</t>
        </is>
      </c>
      <c r="B33" s="11" t="inlineStr">
        <is>
          <t>Chief Behavioral Architect &amp; Neuro-Optimizer</t>
        </is>
      </c>
      <c r="C33" s="11" t="inlineStr">
        <is>
          <t>Corporate</t>
        </is>
      </c>
      <c r="D33" s="11" t="inlineStr">
        <is>
          <t>Helena, with Minerva</t>
        </is>
      </c>
      <c r="E33" s="11" t="inlineStr">
        <is>
          <t>C</t>
        </is>
      </c>
    </row>
    <row r="34">
      <c r="A34" s="11" t="inlineStr">
        <is>
          <t>29</t>
        </is>
      </c>
      <c r="B34" s="11" t="inlineStr">
        <is>
          <t>Frontier Technologies &amp; Spatial Engineer</t>
        </is>
      </c>
      <c r="C34" s="11" t="inlineStr">
        <is>
          <t>Corporate</t>
        </is>
      </c>
      <c r="D34" s="11" t="inlineStr">
        <is>
          <t>Valerie</t>
        </is>
      </c>
      <c r="E34" s="11" t="inlineStr">
        <is>
          <t>B</t>
        </is>
      </c>
    </row>
    <row r="35">
      <c r="A35" s="11" t="inlineStr">
        <is>
          <t>30</t>
        </is>
      </c>
      <c r="B35" s="11" t="inlineStr">
        <is>
          <t>Sovereign Architect &amp; Network State Strategist</t>
        </is>
      </c>
      <c r="C35" s="11" t="inlineStr">
        <is>
          <t>Corporate</t>
        </is>
      </c>
      <c r="D35" s="11" t="inlineStr">
        <is>
          <t>Ren, tagged to 25</t>
        </is>
      </c>
      <c r="E35" s="11" t="inlineStr">
        <is>
          <t>C</t>
        </is>
      </c>
    </row>
    <row r="36">
      <c r="A36" s="11" t="inlineStr">
        <is>
          <t>31</t>
        </is>
      </c>
      <c r="B36" s="11" t="inlineStr">
        <is>
          <t>Embedded Systems &amp; Mobile Security (firmware, bare-metal OS internals, mobile platforms)</t>
        </is>
      </c>
      <c r="C36" s="11" t="inlineStr">
        <is>
          <t>Corporate</t>
        </is>
      </c>
      <c r="D36" s="11" t="inlineStr">
        <is>
          <t>Valerie</t>
        </is>
      </c>
      <c r="E36" s="11" t="inlineStr">
        <is>
          <t>B</t>
        </is>
      </c>
    </row>
    <row r="37">
      <c r="A37" s="11" t="inlineStr">
        <is>
          <t>32</t>
        </is>
      </c>
      <c r="B37" s="11" t="inlineStr">
        <is>
          <t>Communications &amp; Telecom Security (cryptographic protocols, network infrastructure, signals)</t>
        </is>
      </c>
      <c r="C37" s="11" t="inlineStr">
        <is>
          <t>Corporate</t>
        </is>
      </c>
      <c r="D37" s="11" t="inlineStr">
        <is>
          <t>Valerie, with Alaric</t>
        </is>
      </c>
      <c r="E37" s="11" t="inlineStr">
        <is>
          <t>B</t>
        </is>
      </c>
    </row>
    <row r="38">
      <c r="A38" s="11" t="inlineStr">
        <is>
          <t>33</t>
        </is>
      </c>
      <c r="B38" s="11" t="inlineStr">
        <is>
          <t>Automotive &amp; Vehicle Systems Engineering</t>
        </is>
      </c>
      <c r="C38" s="11" t="inlineStr">
        <is>
          <t>Corporate</t>
        </is>
      </c>
      <c r="D38" s="11" t="inlineStr">
        <is>
          <t>Valerie</t>
        </is>
      </c>
      <c r="E38" s="11" t="inlineStr">
        <is>
          <t>C</t>
        </is>
      </c>
    </row>
    <row r="39">
      <c r="A39" s="11" t="inlineStr">
        <is>
          <t>34</t>
        </is>
      </c>
      <c r="B39" s="11" t="inlineStr">
        <is>
          <t>Quantum Computing &amp; Post-Quantum Cryptography</t>
        </is>
      </c>
      <c r="C39" s="11" t="inlineStr">
        <is>
          <t>Corporate</t>
        </is>
      </c>
      <c r="D39" s="11" t="inlineStr">
        <is>
          <t>Valerie</t>
        </is>
      </c>
      <c r="E39" s="11" t="inlineStr">
        <is>
          <t>C</t>
        </is>
      </c>
    </row>
    <row r="40">
      <c r="A40" s="11" t="inlineStr">
        <is>
          <t>35</t>
        </is>
      </c>
      <c r="B40" s="11" t="inlineStr">
        <is>
          <t>Materials Science &amp; Computational Chemistry</t>
        </is>
      </c>
      <c r="C40" s="11" t="inlineStr">
        <is>
          <t>Corporate</t>
        </is>
      </c>
      <c r="D40" s="11" t="inlineStr">
        <is>
          <t>Valerie, with Minerva</t>
        </is>
      </c>
      <c r="E40" s="11" t="inlineStr">
        <is>
          <t>C</t>
        </is>
      </c>
    </row>
    <row r="41">
      <c r="A41" s="11" t="inlineStr">
        <is>
          <t>36</t>
        </is>
      </c>
      <c r="B41" s="11" t="inlineStr">
        <is>
          <t>Synthetic Biology &amp; Genomic Engineering</t>
        </is>
      </c>
      <c r="C41" s="11" t="inlineStr">
        <is>
          <t>Estate</t>
        </is>
      </c>
      <c r="D41" s="11" t="inlineStr">
        <is>
          <t>Minerva</t>
        </is>
      </c>
      <c r="E41" s="11" t="inlineStr">
        <is>
          <t>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9"/>
  <sheetViews>
    <sheetView showGridLines="0" workbookViewId="0">
      <pane ySplit="5" topLeftCell="A6" activePane="bottomLeft" state="frozen"/>
      <selection pane="bottomLeft" activeCell="A1" sqref="A1"/>
    </sheetView>
  </sheetViews>
  <sheetFormatPr baseColWidth="8" defaultRowHeight="15"/>
  <cols>
    <col width="14" customWidth="1" min="1" max="1"/>
    <col width="46" customWidth="1" min="2" max="2"/>
    <col width="18" customWidth="1" min="3" max="3"/>
    <col width="34" customWidth="1" min="4" max="4"/>
    <col width="24" customWidth="1" min="5" max="5"/>
  </cols>
  <sheetData>
    <row r="1">
      <c r="A1" s="1" t="inlineStr">
        <is>
          <t>Ref Task Forces</t>
        </is>
      </c>
    </row>
    <row r="2">
      <c r="A2" s="2" t="inlineStr">
        <is>
          <t>Section 8.3. All twenty-three retained. Group is a tag, not a merge.</t>
        </is>
      </c>
    </row>
    <row r="4">
      <c r="A4" s="3" t="inlineStr">
        <is>
          <t>Twenty-three task forces</t>
        </is>
      </c>
    </row>
    <row r="5">
      <c r="A5" s="10" t="inlineStr">
        <is>
          <t>Code</t>
        </is>
      </c>
      <c r="B5" s="10" t="inlineStr">
        <is>
          <t>Task force</t>
        </is>
      </c>
      <c r="C5" s="10" t="inlineStr">
        <is>
          <t>Group</t>
        </is>
      </c>
      <c r="D5" s="10" t="inlineStr">
        <is>
          <t>Owner</t>
        </is>
      </c>
      <c r="E5" s="10" t="inlineStr">
        <is>
          <t>Default approval tier</t>
        </is>
      </c>
    </row>
    <row r="6">
      <c r="A6" s="11" t="inlineStr">
        <is>
          <t>TF_ALPHA</t>
        </is>
      </c>
      <c r="B6" s="11" t="inlineStr">
        <is>
          <t>Corporate Mergers &amp; Acquisitions</t>
        </is>
      </c>
      <c r="C6" s="11" t="inlineStr">
        <is>
          <t>CORP-DEALS</t>
        </is>
      </c>
      <c r="D6" s="11" t="inlineStr">
        <is>
          <t>Gideon</t>
        </is>
      </c>
      <c r="E6" s="11" t="inlineStr">
        <is>
          <t>Sensitive</t>
        </is>
      </c>
    </row>
    <row r="7">
      <c r="A7" s="11" t="inlineStr">
        <is>
          <t>TF_BETA</t>
        </is>
      </c>
      <c r="B7" s="11" t="inlineStr">
        <is>
          <t>Geopolitical Tariff &amp; Tax / Regulatory Arbitrage</t>
        </is>
      </c>
      <c r="C7" s="11" t="inlineStr">
        <is>
          <t>CORP-LEGAL</t>
        </is>
      </c>
      <c r="D7" s="11" t="inlineStr">
        <is>
          <t>Gideon, with Silas</t>
        </is>
      </c>
      <c r="E7" s="11" t="inlineStr">
        <is>
          <t>Sensitive</t>
        </is>
      </c>
    </row>
    <row r="8">
      <c r="A8" s="11" t="inlineStr">
        <is>
          <t>TF_GAMMA</t>
        </is>
      </c>
      <c r="B8" s="11" t="inlineStr">
        <is>
          <t>Capital Deployment &amp; Wealth Allocation</t>
        </is>
      </c>
      <c r="C8" s="11" t="inlineStr">
        <is>
          <t>CORP-CAPITAL</t>
        </is>
      </c>
      <c r="D8" s="11" t="inlineStr">
        <is>
          <t>Silas</t>
        </is>
      </c>
      <c r="E8" s="11" t="inlineStr">
        <is>
          <t>Sensitive</t>
        </is>
      </c>
    </row>
    <row r="9">
      <c r="A9" s="11" t="inlineStr">
        <is>
          <t>TF_DELTA</t>
        </is>
      </c>
      <c r="B9" s="11" t="inlineStr">
        <is>
          <t>Banking &amp; Institutional Leverage</t>
        </is>
      </c>
      <c r="C9" s="11" t="inlineStr">
        <is>
          <t>CORP-CAPITAL</t>
        </is>
      </c>
      <c r="D9" s="11" t="inlineStr">
        <is>
          <t>Silas</t>
        </is>
      </c>
      <c r="E9" s="11" t="inlineStr">
        <is>
          <t>Sensitive</t>
        </is>
      </c>
    </row>
    <row r="10">
      <c r="A10" s="11" t="inlineStr">
        <is>
          <t>TF_EPSILON</t>
        </is>
      </c>
      <c r="B10" s="11" t="inlineStr">
        <is>
          <t>Venture &amp; Seed Investments</t>
        </is>
      </c>
      <c r="C10" s="11" t="inlineStr">
        <is>
          <t>CORP-CAPITAL</t>
        </is>
      </c>
      <c r="D10" s="11" t="inlineStr">
        <is>
          <t>Silas, with Gideon</t>
        </is>
      </c>
      <c r="E10" s="11" t="inlineStr">
        <is>
          <t>Sensitive</t>
        </is>
      </c>
    </row>
    <row r="11">
      <c r="A11" s="11" t="inlineStr">
        <is>
          <t>TF_ZETA</t>
        </is>
      </c>
      <c r="B11" s="11" t="inlineStr">
        <is>
          <t>Corporate Structuring &amp; Holding Entities</t>
        </is>
      </c>
      <c r="C11" s="11" t="inlineStr">
        <is>
          <t>CORP-DEALS</t>
        </is>
      </c>
      <c r="D11" s="11" t="inlineStr">
        <is>
          <t>Gideon</t>
        </is>
      </c>
      <c r="E11" s="11" t="inlineStr">
        <is>
          <t>Sensitive</t>
        </is>
      </c>
    </row>
    <row r="12">
      <c r="A12" s="11" t="inlineStr">
        <is>
          <t>TF_ETA</t>
        </is>
      </c>
      <c r="B12" s="11" t="inlineStr">
        <is>
          <t>Global Liability &amp; Litigation Defense</t>
        </is>
      </c>
      <c r="C12" s="11" t="inlineStr">
        <is>
          <t>CORP-LEGAL</t>
        </is>
      </c>
      <c r="D12" s="11" t="inlineStr">
        <is>
          <t>Gideon</t>
        </is>
      </c>
      <c r="E12" s="11" t="inlineStr">
        <is>
          <t>Sensitive</t>
        </is>
      </c>
    </row>
    <row r="13">
      <c r="A13" s="11" t="inlineStr">
        <is>
          <t>TF_THETA</t>
        </is>
      </c>
      <c r="B13" s="11" t="inlineStr">
        <is>
          <t>Regulatory Compliance &amp; Audit</t>
        </is>
      </c>
      <c r="C13" s="11" t="inlineStr">
        <is>
          <t>CORP-LEGAL</t>
        </is>
      </c>
      <c r="D13" s="11" t="inlineStr">
        <is>
          <t>Gideon, with Silas</t>
        </is>
      </c>
      <c r="E13" s="11" t="inlineStr">
        <is>
          <t>Standard</t>
        </is>
      </c>
    </row>
    <row r="14">
      <c r="A14" s="11" t="inlineStr">
        <is>
          <t>TF_IOTA</t>
        </is>
      </c>
      <c r="B14" s="11" t="inlineStr">
        <is>
          <t>Intellectual Property &amp; Licensing</t>
        </is>
      </c>
      <c r="C14" s="11" t="inlineStr">
        <is>
          <t>CORP-CONTRACTS</t>
        </is>
      </c>
      <c r="D14" s="11" t="inlineStr">
        <is>
          <t>Gideon</t>
        </is>
      </c>
      <c r="E14" s="11" t="inlineStr">
        <is>
          <t>Standard</t>
        </is>
      </c>
    </row>
    <row r="15">
      <c r="A15" s="11" t="inlineStr">
        <is>
          <t>TF_KAPPA</t>
        </is>
      </c>
      <c r="B15" s="11" t="inlineStr">
        <is>
          <t>Contract &amp; Vendor Negotiation</t>
        </is>
      </c>
      <c r="C15" s="11" t="inlineStr">
        <is>
          <t>CORP-CONTRACTS</t>
        </is>
      </c>
      <c r="D15" s="11" t="inlineStr">
        <is>
          <t>Gideon, with Ren</t>
        </is>
      </c>
      <c r="E15" s="11" t="inlineStr">
        <is>
          <t>Standard</t>
        </is>
      </c>
    </row>
    <row r="16">
      <c r="A16" s="11" t="inlineStr">
        <is>
          <t>TF_LAMBDA</t>
        </is>
      </c>
      <c r="B16" s="11" t="inlineStr">
        <is>
          <t>AEC Oversight</t>
        </is>
      </c>
      <c r="C16" s="11" t="inlineStr">
        <is>
          <t>CORP-AEC</t>
        </is>
      </c>
      <c r="D16" s="11" t="inlineStr">
        <is>
          <t>Valerie</t>
        </is>
      </c>
      <c r="E16" s="11" t="inlineStr">
        <is>
          <t>Standard</t>
        </is>
      </c>
    </row>
    <row r="17">
      <c r="A17" s="11" t="inlineStr">
        <is>
          <t>TF_MU</t>
        </is>
      </c>
      <c r="B17" s="11" t="inlineStr">
        <is>
          <t>Software DevOps &amp; Infrastructure</t>
        </is>
      </c>
      <c r="C17" s="11" t="inlineStr">
        <is>
          <t>CORP-INFRA</t>
        </is>
      </c>
      <c r="D17" s="11" t="inlineStr">
        <is>
          <t>Valerie</t>
        </is>
      </c>
      <c r="E17" s="11" t="inlineStr">
        <is>
          <t>Standard</t>
        </is>
      </c>
    </row>
    <row r="18">
      <c r="A18" s="11" t="inlineStr">
        <is>
          <t>TF_NU</t>
        </is>
      </c>
      <c r="B18" s="11" t="inlineStr">
        <is>
          <t>Hardware &amp; Cryptographic Security</t>
        </is>
      </c>
      <c r="C18" s="11" t="inlineStr">
        <is>
          <t>CORP-INFRA</t>
        </is>
      </c>
      <c r="D18" s="11" t="inlineStr">
        <is>
          <t>Valerie</t>
        </is>
      </c>
      <c r="E18" s="11" t="inlineStr">
        <is>
          <t>Standard</t>
        </is>
      </c>
    </row>
    <row r="19">
      <c r="A19" s="11" t="inlineStr">
        <is>
          <t>TF_XI</t>
        </is>
      </c>
      <c r="B19" s="11" t="inlineStr">
        <is>
          <t>Data Privacy &amp; Zero-Trust Networks</t>
        </is>
      </c>
      <c r="C19" s="11" t="inlineStr">
        <is>
          <t>CORP-INFRA</t>
        </is>
      </c>
      <c r="D19" s="11" t="inlineStr">
        <is>
          <t>Valerie, with Alaric</t>
        </is>
      </c>
      <c r="E19" s="11" t="inlineStr">
        <is>
          <t>Sensitive</t>
        </is>
      </c>
    </row>
    <row r="20">
      <c r="A20" s="11" t="inlineStr">
        <is>
          <t>TF_OMICRON</t>
        </is>
      </c>
      <c r="B20" s="11" t="inlineStr">
        <is>
          <t>Public Relations &amp; Crisis Management</t>
        </is>
      </c>
      <c r="C20" s="11" t="inlineStr">
        <is>
          <t>CORP-BRAND</t>
        </is>
      </c>
      <c r="D20" s="11" t="inlineStr">
        <is>
          <t>Helena</t>
        </is>
      </c>
      <c r="E20" s="11" t="inlineStr">
        <is>
          <t>Sensitive</t>
        </is>
      </c>
    </row>
    <row r="21">
      <c r="A21" s="11" t="inlineStr">
        <is>
          <t>TF_PI</t>
        </is>
      </c>
      <c r="B21" s="11" t="inlineStr">
        <is>
          <t>Brand Strategy &amp; Sales Architecture</t>
        </is>
      </c>
      <c r="C21" s="11" t="inlineStr">
        <is>
          <t>CORP-BRAND</t>
        </is>
      </c>
      <c r="D21" s="11" t="inlineStr">
        <is>
          <t>Helena</t>
        </is>
      </c>
      <c r="E21" s="11" t="inlineStr">
        <is>
          <t>Standard</t>
        </is>
      </c>
    </row>
    <row r="22">
      <c r="A22" s="11" t="inlineStr">
        <is>
          <t>TF_RHO</t>
        </is>
      </c>
      <c r="B22" s="11" t="inlineStr">
        <is>
          <t>Executive Scheduling &amp; Strategic Routing</t>
        </is>
      </c>
      <c r="C22" s="11" t="inlineStr">
        <is>
          <t>CORP-ROUTING</t>
        </is>
      </c>
      <c r="D22" s="11" t="inlineStr">
        <is>
          <t>Eleanor</t>
        </is>
      </c>
      <c r="E22" s="11" t="inlineStr">
        <is>
          <t>Routine</t>
        </is>
      </c>
    </row>
    <row r="23">
      <c r="A23" s="11" t="inlineStr">
        <is>
          <t>TF_SIGMA</t>
        </is>
      </c>
      <c r="B23" s="11" t="inlineStr">
        <is>
          <t>Physical Estate &amp; Asset Management</t>
        </is>
      </c>
      <c r="C23" s="11" t="inlineStr">
        <is>
          <t>EST-ASSET</t>
        </is>
      </c>
      <c r="D23" s="11" t="inlineStr">
        <is>
          <t>Alaric</t>
        </is>
      </c>
      <c r="E23" s="11" t="inlineStr">
        <is>
          <t>Sensitive</t>
        </is>
      </c>
    </row>
    <row r="24">
      <c r="A24" s="11" t="inlineStr">
        <is>
          <t>TF_TAU</t>
        </is>
      </c>
      <c r="B24" s="11" t="inlineStr">
        <is>
          <t>Private Security &amp; Threat Mitigation</t>
        </is>
      </c>
      <c r="C24" s="11" t="inlineStr">
        <is>
          <t>EST-SECURITY</t>
        </is>
      </c>
      <c r="D24" s="11" t="inlineStr">
        <is>
          <t>Alaric</t>
        </is>
      </c>
      <c r="E24" s="11" t="inlineStr">
        <is>
          <t>Sensitive</t>
        </is>
      </c>
    </row>
    <row r="25">
      <c r="A25" s="11" t="inlineStr">
        <is>
          <t>TF_UPSILON</t>
        </is>
      </c>
      <c r="B25" s="11" t="inlineStr">
        <is>
          <t>Private Medical &amp; Longevity Protocols</t>
        </is>
      </c>
      <c r="C25" s="11" t="inlineStr">
        <is>
          <t>EST-HEALTH</t>
        </is>
      </c>
      <c r="D25" s="11" t="inlineStr">
        <is>
          <t>Minerva</t>
        </is>
      </c>
      <c r="E25" s="11" t="inlineStr">
        <is>
          <t>Sensitive</t>
        </is>
      </c>
    </row>
    <row r="26">
      <c r="A26" s="11" t="inlineStr">
        <is>
          <t>TF_PHI</t>
        </is>
      </c>
      <c r="B26" s="11" t="inlineStr">
        <is>
          <t>Global Aviation &amp; Transport Logistics</t>
        </is>
      </c>
      <c r="C26" s="11" t="inlineStr">
        <is>
          <t>EST-MOBILITY</t>
        </is>
      </c>
      <c r="D26" s="11" t="inlineStr">
        <is>
          <t>Victor</t>
        </is>
      </c>
      <c r="E26" s="11" t="inlineStr">
        <is>
          <t>Standard</t>
        </is>
      </c>
    </row>
    <row r="27">
      <c r="A27" s="11" t="inlineStr">
        <is>
          <t>TF_CHI</t>
        </is>
      </c>
      <c r="B27" s="11" t="inlineStr">
        <is>
          <t>Concierge &amp; Frictionless Travel</t>
        </is>
      </c>
      <c r="C27" s="11" t="inlineStr">
        <is>
          <t>EST-MOBILITY</t>
        </is>
      </c>
      <c r="D27" s="11" t="inlineStr">
        <is>
          <t>Victor</t>
        </is>
      </c>
      <c r="E27" s="11" t="inlineStr">
        <is>
          <t>Routine</t>
        </is>
      </c>
    </row>
    <row r="28">
      <c r="A28" s="11" t="inlineStr">
        <is>
          <t>TF_OMEGA</t>
        </is>
      </c>
      <c r="B28" s="11" t="inlineStr">
        <is>
          <t>Absolute Apex Contingency</t>
        </is>
      </c>
      <c r="C28" s="11" t="inlineStr">
        <is>
          <t>APEX</t>
        </is>
      </c>
      <c r="D28" s="11" t="inlineStr">
        <is>
          <t>Principal-triggered, Ren and Arthur jointly</t>
        </is>
      </c>
      <c r="E28" s="11" t="inlineStr">
        <is>
          <t>Sensitive, dual sign-off</t>
        </is>
      </c>
    </row>
    <row r="29">
      <c r="A29" s="2" t="inlineStr">
        <is>
          <t>v0.4.0 (S-29, D-37): owners and tiers unchanged. A preset reaches a seat only through its owner's binding or its engine field, never a domain card; on Day 1 only TF_OMEGA carries one (deepseek-v4-flash, the Apex), and every other preset runs on its owner's default engine (GLM-5.3-Flash for every director but Valerie, whose engine is unchanged). The phased engines a preset will carry are named in task-forces.json notes: Ling-3.0-flash-Fin on TF_GAMMA, TF_DELTA and TF_EPSILON, Baichuan-M3 and Intern-S1 on TF_UPSILON; TF_MU has none, since D-19 (c) dropped Qwen3-Coder-Next on 2026-10-17. No new prefix.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
  <sheetViews>
    <sheetView showGridLines="0" workbookViewId="0">
      <pane ySplit="5" topLeftCell="A6" activePane="bottomLeft" state="frozen"/>
      <selection pane="bottomLeft" activeCell="A1" sqref="A1"/>
    </sheetView>
  </sheetViews>
  <sheetFormatPr baseColWidth="8" defaultRowHeight="15"/>
  <cols>
    <col width="30" customWidth="1" min="1" max="1"/>
    <col width="46" customWidth="1" min="2" max="2"/>
    <col width="46" customWidth="1" min="3" max="3"/>
    <col width="40" customWidth="1" min="4" max="4"/>
  </cols>
  <sheetData>
    <row r="1">
      <c r="A1" s="1" t="inlineStr">
        <is>
          <t>Ref Integrations</t>
        </is>
      </c>
    </row>
    <row r="2">
      <c r="A2" s="2" t="inlineStr">
        <is>
          <t>Section 13. APIs preferred over the browser wherever they exist.</t>
        </is>
      </c>
    </row>
    <row r="4">
      <c r="A4" s="3" t="inlineStr">
        <is>
          <t>External services</t>
        </is>
      </c>
    </row>
    <row r="5">
      <c r="A5" s="10" t="inlineStr">
        <is>
          <t>Service</t>
        </is>
      </c>
      <c r="B5" s="10" t="inlineStr">
        <is>
          <t>Path</t>
        </is>
      </c>
      <c r="C5" s="10" t="inlineStr">
        <is>
          <t>Capability</t>
        </is>
      </c>
      <c r="D5" s="10" t="inlineStr">
        <is>
          <t>Approval</t>
        </is>
      </c>
    </row>
    <row r="6">
      <c r="A6" s="11" t="inlineStr">
        <is>
          <t>Google Workspace and personal Gmail</t>
        </is>
      </c>
      <c r="B6" s="11" t="inlineStr">
        <is>
          <t>Gmail and Calendar APIs, one-time OAuth per account via a Principal-owned Google Cloud project</t>
        </is>
      </c>
      <c r="C6" s="11" t="inlineStr">
        <is>
          <t>Read, send, label, calendar both ways. Each account tagged corporate or estate for the router</t>
        </is>
      </c>
      <c r="D6" s="11" t="inlineStr">
        <is>
          <t>Per message tier (Section 16.2)</t>
        </is>
      </c>
    </row>
    <row r="7">
      <c r="A7" s="11" t="inlineStr">
        <is>
          <t>Google Drive</t>
        </is>
      </c>
      <c r="B7" s="11" t="inlineStr">
        <is>
          <t>Mounted as a folder on the node (rclone), both accounts</t>
        </is>
      </c>
      <c r="C7" s="11" t="inlineStr">
        <is>
          <t>Read and write, appears as local storage to every persona</t>
        </is>
      </c>
      <c r="D7" s="11" t="inlineStr">
        <is>
          <t>Writes to shared folders: standard tier</t>
        </is>
      </c>
    </row>
    <row r="8">
      <c r="A8" s="11" t="inlineStr">
        <is>
          <t>Xero</t>
        </is>
      </c>
      <c r="B8" s="11" t="inlineStr">
        <is>
          <t>Official API plus Xero's own MCP tool server</t>
        </is>
      </c>
      <c r="C8" s="11" t="inlineStr">
        <is>
          <t>Ledgers, invoices, contacts, bank feeds, reports as structured data for Silas</t>
        </is>
      </c>
      <c r="D8" s="11" t="inlineStr">
        <is>
          <t>Any posting or payment: sensitive tier</t>
        </is>
      </c>
    </row>
    <row r="9">
      <c r="A9" s="11" t="inlineStr">
        <is>
          <t>Cloudflare</t>
        </is>
      </c>
      <c r="B9" s="11" t="inlineStr">
        <is>
          <t>Full API, scoped token</t>
        </is>
      </c>
      <c r="C9" s="11" t="inlineStr">
        <is>
          <t>DNS, domains, security settings</t>
        </is>
      </c>
      <c r="D9" s="11" t="inlineStr">
        <is>
          <t>All changes: standard tier, DNS for sovereign-node.link itself: sensitive</t>
        </is>
      </c>
    </row>
    <row r="10">
      <c r="A10" s="11" t="inlineStr">
        <is>
          <t>Wix</t>
        </is>
      </c>
      <c r="B10" s="11" t="inlineStr">
        <is>
          <t>Partial API for content and business data, browser for site design</t>
        </is>
      </c>
      <c r="C10" s="11" t="inlineStr">
        <is>
          <t>Helena updates content by API, design changes through the browser</t>
        </is>
      </c>
      <c r="D10" s="11" t="inlineStr">
        <is>
          <t>Standard tier</t>
        </is>
      </c>
    </row>
    <row r="11">
      <c r="A11" s="11" t="inlineStr">
        <is>
          <t>Pay.com</t>
        </is>
      </c>
      <c r="B11" s="11" t="inlineStr">
        <is>
          <t>Developer API for payment data</t>
        </is>
      </c>
      <c r="C11" s="11" t="inlineStr">
        <is>
          <t>Reading and reporting</t>
        </is>
      </c>
      <c r="D11" s="11" t="inlineStr">
        <is>
          <t>Any payment action: sensitive tier, two-factor stays on the Principal's phone</t>
        </is>
      </c>
    </row>
    <row r="12">
      <c r="A12" s="11" t="inlineStr">
        <is>
          <t>RewardPay</t>
        </is>
      </c>
      <c r="B12" s="11" t="inlineStr">
        <is>
          <t>Browser only, no public API found</t>
        </is>
      </c>
      <c r="C12" s="11" t="inlineStr">
        <is>
          <t>Agent-driven browser with the Principal approving each action</t>
        </is>
      </c>
      <c r="D12" s="11" t="inlineStr">
        <is>
          <t>Sensitive tier, two-factor stays on the Principal's phone</t>
        </is>
      </c>
    </row>
    <row r="13">
      <c r="A13" s="11" t="inlineStr">
        <is>
          <t>Anything without an API</t>
        </is>
      </c>
      <c r="B13" s="11" t="inlineStr">
        <is>
          <t>Local browser automation, Playwright text-based DOM reading, UI-TARS-1.5-7B for vision-driven GUI work (15.2; corrected in v0.4.0, B-11: UI-TARS 2.0 has no open weights and stays on the watch-list, 15.5)</t>
        </is>
      </c>
      <c r="C13" s="11" t="inlineStr">
        <is>
          <t>Works with every engine in the set</t>
        </is>
      </c>
      <c r="D13" s="11" t="inlineStr">
        <is>
          <t>Per action tier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0"/>
  <sheetViews>
    <sheetView showGridLines="0" workbookViewId="0">
      <pane ySplit="3" topLeftCell="A4" activePane="bottomLeft" state="frozen"/>
      <selection pane="bottomLeft" activeCell="A1" sqref="A1"/>
    </sheetView>
  </sheetViews>
  <sheetFormatPr baseColWidth="8" defaultRowHeight="15"/>
  <cols>
    <col width="30" customWidth="1" min="1" max="1"/>
    <col width="60" customWidth="1" min="2" max="2"/>
    <col width="46" customWidth="1" min="3" max="3"/>
    <col width="40" customWidth="1" min="4" max="4"/>
  </cols>
  <sheetData>
    <row r="1">
      <c r="A1" s="1" t="inlineStr">
        <is>
          <t>Ref Voice</t>
        </is>
      </c>
    </row>
    <row r="2">
      <c r="A2" s="2" t="inlineStr">
        <is>
          <t>Sections 14.1 and 14.3. Casting is a shortlist for a listening test (V7), not a locked choice.</t>
        </is>
      </c>
    </row>
    <row r="4">
      <c r="A4" s="3" t="inlineStr">
        <is>
          <t>Speech engines</t>
        </is>
      </c>
    </row>
    <row r="5">
      <c r="A5" s="10" t="inlineStr">
        <is>
          <t>Function</t>
        </is>
      </c>
      <c r="B5" s="10" t="inlineStr">
        <is>
          <t>Engine</t>
        </is>
      </c>
      <c r="C5" s="10" t="inlineStr">
        <is>
          <t>Status</t>
        </is>
      </c>
    </row>
    <row r="6">
      <c r="A6" s="11" t="inlineStr">
        <is>
          <t>Text-to-speech, always-on default for all ten personas</t>
        </is>
      </c>
      <c r="B6" s="11" t="inlineStr">
        <is>
          <t>Kokoro-82M</t>
        </is>
      </c>
      <c r="C6" s="11" t="inlineStr">
        <is>
          <t>Local, cheap, measured naturalness ~4.2 to 4.5 against a human 4.5 to 4.8</t>
        </is>
      </c>
    </row>
    <row r="7">
      <c r="A7" s="11" t="inlineStr">
        <is>
          <t>Text-to-speech, character and cloning tier</t>
        </is>
      </c>
      <c r="B7" s="11" t="inlineStr">
        <is>
          <t>Chatterbox</t>
        </is>
      </c>
      <c r="C7" s="11" t="inlineStr">
        <is>
          <t>Local, MIT licensed, won blind preference against ElevenLabs 65% to 25%; carries a documented continuation quirk, test before it carries anything important. *v0.4.0 (C-09, S-15):* 0.1.7 stays on Day 1. Chatterbox Turbo (350M, English) and Multilingual V3 (0.5B, 23 languages), both MIT, are phased. To-do: T-23, a test on the ROCm 10.0 image (load, real-time factor, the continuation quirk); the event: the Phase 4 gate passed</t>
        </is>
      </c>
    </row>
    <row r="8">
      <c r="A8" s="11" t="inlineStr">
        <is>
          <t>Not adopted</t>
        </is>
      </c>
      <c r="B8" s="11" t="inlineStr">
        <is>
          <t>Fish Audio S2 (Pro tier is research-licensed), Qwen-Audio-3.0-TTS (hosted only); *v0.4.0 (S-52):* Higgs v3 and Fish S2-Pro (non-commercial)</t>
        </is>
      </c>
      <c r="C8" s="11" t="inlineStr">
        <is>
          <t>Excluded</t>
        </is>
      </c>
    </row>
    <row r="9">
      <c r="A9" s="11" t="inlineStr">
        <is>
          <t>Text-to-speech, test (v0.4.0, S-57; was the watch-list)</t>
        </is>
      </c>
      <c r="B9" s="11" t="inlineStr">
        <is>
          <t>Qwen3-TTS-12Hz-1.7B-Base (open, local; ggml-org Q8_0, 1.85 GB plus a 0.45 GB mmproj)</t>
        </is>
      </c>
      <c r="C9" s="11" t="inlineStr">
        <is>
          <t>Phased test after Day 1 (C-10, T-22): through the llama-tts tool on the pinned Vulkan build, because llama-server has no speech endpoint until llama.cpp PR #26603 merges (15.5); then in the V7 listening set beside Kokoro and Chatterbox (T-24). Not a Day 1 dependency</t>
        </is>
      </c>
    </row>
    <row r="10">
      <c r="A10" s="11" t="inlineStr">
        <is>
          <t>Speech-to-text</t>
        </is>
      </c>
      <c r="B10" s="11" t="inlineStr">
        <is>
          <t>Whisper Large-v3-Turbo via whisper.cpp or faster-whisper</t>
        </is>
      </c>
      <c r="C10" s="11" t="inlineStr">
        <is>
          <t>Local. *v0.4.0 (C-05, S-14):* kept on Day 1 and as the fallback. Qwen3-ASR-1.7B (ggml-org Q8_0, 2.17 GB plus a 0.36 GB mmproj, on llama-server's /v1/audio/transcriptions at the pin) and Phi-4-multimodal are candidates for a word-error-rate test on the Principal's audio (T-20), phased; Open WebUI's speech endpoint changes only if the test favours one</t>
        </is>
      </c>
    </row>
    <row r="11">
      <c r="A11" s="11" t="inlineStr">
        <is>
          <t>Speaker diarisation</t>
        </is>
      </c>
      <c r="B11" s="11" t="inlineStr">
        <is>
          <t>pyannote speaker-diarization-community-1 (v0.4.0, C-06; was PyAnnote 3.1)</t>
        </is>
      </c>
      <c r="C11" s="11" t="inlineStr">
        <is>
          <t>Local, on the CPU, on the same pyannote.audio 4.0.7 install. VERIFY V6: the model is gated on Hugging Face (CC-BY-4.0, an automatically approved form, one self-contained repository); the licence must be accepted once with a token during Phase 2. V6 probes 3.1 only as a diagnostic when community-1 is refused</t>
        </is>
      </c>
    </row>
    <row r="12">
      <c r="A12" s="11" t="inlineStr">
        <is>
          <t>Speaker diarisation, primary after Day 1 (v0.4.0, phased)</t>
        </is>
      </c>
      <c r="B12" s="11" t="inlineStr">
        <is>
          <t>Nemotron 3 Diarization (official Q8_0, 0.11 GB, OpenMDW-1.1 accepted under D-05) through NeMo-Speech.cpp on the node's ggml and Vulkan stack</t>
        </is>
      </c>
      <c r="C12" s="11" t="inlineStr">
        <is>
          <t>Phased (C-06, S-04); community-1 then becomes its fallback for recordings with more than eight speakers. To-do: a pinned NeMo-Speech.cpp build step and V6 rewritten for it. The event: T-21, its speed and diarisation error on gfx1151 against community-1 and 3.1 on the Principal's recordings, after Day 1</t>
        </is>
      </c>
    </row>
    <row r="13">
      <c r="A13" s="11" t="inlineStr">
        <is>
          <t>Not adopted, diarisation and speech-to-text (v0.4.0, S-52)</t>
        </is>
      </c>
      <c r="B13" s="11" t="inlineStr">
        <is>
          <t>DiariZen (CC BY-NC, non-commercial); Sortformer (a four-speaker cap); pyannoteAI precision-2 and -3 (hosted, so they fail zero-cloud); Parakeet TDT and Canary-Qwen (NeMo, CUDA only)</t>
        </is>
      </c>
      <c r="C13" s="11" t="inlineStr">
        <is>
          <t>Excluded</t>
        </is>
      </c>
    </row>
    <row r="14">
      <c r="A14" s="11" t="inlineStr">
        <is>
          <t>Music and sound</t>
        </is>
      </c>
      <c r="B14" s="11" t="inlineStr">
        <is>
          <t>Stable Audio Open</t>
        </is>
      </c>
      <c r="C14" s="11" t="inlineStr">
        <is>
          <t>Phase 4</t>
        </is>
      </c>
    </row>
    <row r="15">
      <c r="A15" s="11" t="inlineStr">
        <is>
          <t>Voice cloning alternative</t>
        </is>
      </c>
      <c r="B15" s="11" t="inlineStr">
        <is>
          <t>CosyVoice2</t>
        </is>
      </c>
      <c r="C15" s="11" t="inlineStr">
        <is>
          <t>Phase 4, optional</t>
        </is>
      </c>
    </row>
    <row r="16">
      <c r="A16" s="2" t="inlineStr">
        <is>
          <t>v0.4.0 (approved by the Principal on 2026-10-16): the one Day 1 change is the diariser, pyannote speaker-diarization-community-1 in place of 3.1 (C-06; V6 probes 3.1 only as a diagnostic). Nemotron 3 Diarization, Chatterbox Turbo and Multilingual V3, Qwen3-TTS and the Qwen3-ASR word-error-rate test are phased after Day 1, each on its node test with the Principal's own audio (T-20 to T-24).</t>
        </is>
      </c>
    </row>
    <row r="18">
      <c r="A18" s="3" t="inlineStr">
        <is>
          <t>Voice casting shortlist</t>
        </is>
      </c>
    </row>
    <row r="19">
      <c r="A19" s="10" t="inlineStr">
        <is>
          <t>Persona</t>
        </is>
      </c>
      <c r="B19" s="10" t="inlineStr">
        <is>
          <t>Description</t>
        </is>
      </c>
      <c r="C19" s="10" t="inlineStr">
        <is>
          <t>Kokoro candidates</t>
        </is>
      </c>
      <c r="D19" s="10" t="inlineStr">
        <is>
          <t>Path</t>
        </is>
      </c>
    </row>
    <row r="20">
      <c r="A20" s="11" t="inlineStr">
        <is>
          <t>Arthur</t>
        </is>
      </c>
      <c r="B20" s="11" t="inlineStr">
        <is>
          <t>Male. Formal, patient, structured, deep resonance, calming British or Transatlantic cadence</t>
        </is>
      </c>
      <c r="C20" s="11" t="inlineStr">
        <is>
          <t>bm_george, alternate bm_daniel</t>
        </is>
      </c>
      <c r="D20" s="11" t="inlineStr">
        <is>
          <t>Kokoro preset</t>
        </is>
      </c>
    </row>
    <row r="21">
      <c r="A21" s="11" t="inlineStr">
        <is>
          <t>Ren</t>
        </is>
      </c>
      <c r="B21" s="11" t="inlineStr">
        <is>
          <t>Male. Sharp, direct, fast, aggressive modern executive cadence with expressive pauses</t>
        </is>
      </c>
      <c r="C21" s="11" t="inlineStr">
        <is>
          <t>am_onyx, alternate am_michael</t>
        </is>
      </c>
      <c r="D21" s="11" t="inlineStr">
        <is>
          <t>Kokoro preset, Chatterbox for intensity if needed</t>
        </is>
      </c>
    </row>
    <row r="22">
      <c r="A22" s="11" t="inlineStr">
        <is>
          <t>Alaric Stone</t>
        </is>
      </c>
      <c r="B22" s="11" t="inlineStr">
        <is>
          <t>Male. Grounded, authoritative, gravelly veteran security director</t>
        </is>
      </c>
      <c r="C22" s="11" t="inlineStr">
        <is>
          <t>No preset delivers gravel</t>
        </is>
      </c>
      <c r="D22" s="11" t="inlineStr">
        <is>
          <t>Chatterbox clone from a reference recording</t>
        </is>
      </c>
    </row>
    <row r="23">
      <c r="A23" s="11" t="inlineStr">
        <is>
          <t>Minerva Hale</t>
        </is>
      </c>
      <c r="B23" s="11" t="inlineStr">
        <is>
          <t>Female. Calm, analytical, articulate, clinical</t>
        </is>
      </c>
      <c r="C23" s="11" t="inlineStr">
        <is>
          <t>af_kore, alternate bf_isabella</t>
        </is>
      </c>
      <c r="D23" s="11" t="inlineStr">
        <is>
          <t>Kokoro preset</t>
        </is>
      </c>
    </row>
    <row r="24">
      <c r="A24" s="11" t="inlineStr">
        <is>
          <t>Victor Vale</t>
        </is>
      </c>
      <c r="B24" s="11" t="inlineStr">
        <is>
          <t>Male. Crisp, rapid, flawlessly polite, aviation concierge</t>
        </is>
      </c>
      <c r="C24" s="11" t="inlineStr">
        <is>
          <t>bm_lewis, alternate bm_daniel</t>
        </is>
      </c>
      <c r="D24" s="11" t="inlineStr">
        <is>
          <t>Kokoro preset</t>
        </is>
      </c>
    </row>
    <row r="25">
      <c r="A25" s="11" t="inlineStr">
        <is>
          <t>Gideon Vance</t>
        </is>
      </c>
      <c r="B25" s="11" t="inlineStr">
        <is>
          <t>Measured, meticulous, deep, litigator in absolute facts</t>
        </is>
      </c>
      <c r="C25" s="11" t="inlineStr">
        <is>
          <t>bm_george if Arthur takes bm_daniel, else am_onyx reassigned</t>
        </is>
      </c>
      <c r="D25" s="11" t="inlineStr">
        <is>
          <t>Kokoro preset or Chatterbox clone to separate from Arthur</t>
        </is>
      </c>
    </row>
    <row r="26">
      <c r="A26" s="11" t="inlineStr">
        <is>
          <t>Silas Thorne</t>
        </is>
      </c>
      <c r="B26" s="11" t="inlineStr">
        <is>
          <t>Male. Sharp, cold, calculated quant</t>
        </is>
      </c>
      <c r="C26" s="11" t="inlineStr">
        <is>
          <t>am_eric, alternate am_echo</t>
        </is>
      </c>
      <c r="D26" s="11" t="inlineStr">
        <is>
          <t>Kokoro preset</t>
        </is>
      </c>
    </row>
    <row r="27">
      <c r="A27" s="11" t="inlineStr">
        <is>
          <t>Valerie Cross</t>
        </is>
      </c>
      <c r="B27" s="11" t="inlineStr">
        <is>
          <t>Female. Direct, brilliant, slightly impatient engineer</t>
        </is>
      </c>
      <c r="C27" s="11" t="inlineStr">
        <is>
          <t>af_nova, alternate af_river</t>
        </is>
      </c>
      <c r="D27" s="11" t="inlineStr">
        <is>
          <t>Kokoro preset</t>
        </is>
      </c>
    </row>
    <row r="28">
      <c r="A28" s="11" t="inlineStr">
        <is>
          <t>Helena Frost</t>
        </is>
      </c>
      <c r="B28" s="11" t="inlineStr">
        <is>
          <t>Female. Charismatic, persuasive, perfectly modulated PR executive</t>
        </is>
      </c>
      <c r="C28" s="11" t="inlineStr">
        <is>
          <t>af_bella, alternate bf_emma</t>
        </is>
      </c>
      <c r="D28" s="11" t="inlineStr">
        <is>
          <t>Kokoro preset, Chatterbox for modulation if needed</t>
        </is>
      </c>
    </row>
    <row r="29">
      <c r="A29" s="11" t="inlineStr">
        <is>
          <t>Eleanor Croft</t>
        </is>
      </c>
      <c r="B29" s="11" t="inlineStr">
        <is>
          <t>Female. Warm, efficient, observant</t>
        </is>
      </c>
      <c r="C29" s="11" t="inlineStr">
        <is>
          <t>af_sarah, alternate af_heart</t>
        </is>
      </c>
      <c r="D29" s="11" t="inlineStr">
        <is>
          <t>Kokoro preset</t>
        </is>
      </c>
    </row>
    <row r="30">
      <c r="A30" s="2" t="inlineStr">
        <is>
          <t>Known conflict: Arthur, Victor, and Gideon all pull toward the same four British male presets. Once heard, expect to spread them apart or move one to a Chatterbox clone, as Alaric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2"/>
  <sheetViews>
    <sheetView showGridLines="0" workbookViewId="0">
      <pane ySplit="3" topLeftCell="A4" activePane="bottomLeft" state="frozen"/>
      <selection pane="bottomLeft" activeCell="A1" sqref="A1"/>
    </sheetView>
  </sheetViews>
  <sheetFormatPr baseColWidth="8" defaultRowHeight="15"/>
  <cols>
    <col width="30" customWidth="1" min="1" max="1"/>
    <col width="60" customWidth="1" min="2" max="2"/>
    <col width="60" customWidth="1" min="3" max="3"/>
    <col width="40" customWidth="1" min="4" max="4"/>
    <col width="40" customWidth="1" min="5" max="5"/>
  </cols>
  <sheetData>
    <row r="1">
      <c r="A1" s="1" t="inlineStr">
        <is>
          <t>Ref Multimodal</t>
        </is>
      </c>
    </row>
    <row r="2">
      <c r="A2" s="2" t="inlineStr">
        <is>
          <t>Section 15. Tools install in Phase 2 (CPU, always available). Engines build in Phase 4 inside ROCm containers; since v0.4.0 a Phase 4 engine never runs beside an LLM seat (D-50 (a)). The watch-list (15.5) is considered, not adopted.</t>
        </is>
      </c>
    </row>
    <row r="4">
      <c r="A4" s="3" t="inlineStr">
        <is>
          <t>Phase 2 tools</t>
        </is>
      </c>
    </row>
    <row r="5">
      <c r="A5" s="10" t="inlineStr">
        <is>
          <t>Tool</t>
        </is>
      </c>
      <c r="B5" s="10" t="inlineStr">
        <is>
          <t>Job</t>
        </is>
      </c>
      <c r="C5" s="10" t="inlineStr">
        <is>
          <t>Owner</t>
        </is>
      </c>
    </row>
    <row r="6">
      <c r="A6" s="11" t="inlineStr">
        <is>
          <t>IfcOpenShell and Bonsai (Blender BIM)</t>
        </is>
      </c>
      <c r="B6" s="11" t="inlineStr">
        <is>
          <t>IFC parsing, authoring, geometric clash detection</t>
        </is>
      </c>
      <c r="C6" s="11" t="inlineStr">
        <is>
          <t>Domain 8, Valerie</t>
        </is>
      </c>
    </row>
    <row r="7">
      <c r="A7" s="11" t="inlineStr">
        <is>
          <t>MCP4IFC</t>
        </is>
      </c>
      <c r="B7" s="11" t="inlineStr">
        <is>
          <t>MCP server for LLM-driven parametric IFC creation and editing, this is the "Arch-DiT / BIM-GPT" capability</t>
        </is>
      </c>
      <c r="C7" s="11" t="inlineStr">
        <is>
          <t>Domain 8, Valerie</t>
        </is>
      </c>
    </row>
    <row r="8">
      <c r="A8" s="11" t="inlineStr">
        <is>
          <t>Radiance</t>
        </is>
      </c>
      <c r="B8" s="11" t="inlineStr">
        <is>
          <t>Physically accurate lighting and daylighting simulation for real coordinates and time, the photometric half of "Lumina-PBR"</t>
        </is>
      </c>
      <c r="C8" s="11" t="inlineStr">
        <is>
          <t>Domain 8, Valerie</t>
        </is>
      </c>
    </row>
    <row r="9">
      <c r="A9" s="11" t="inlineStr">
        <is>
          <t>OpenStudio and EnergyPlus</t>
        </is>
      </c>
      <c r="B9" s="11" t="inlineStr">
        <is>
          <t>HVAC and building-energy simulation, the fluid-dynamics half of "DeepRoute-AEC"</t>
        </is>
      </c>
      <c r="C9" s="11" t="inlineStr">
        <is>
          <t>Domain 8 and 9, Valerie</t>
        </is>
      </c>
    </row>
    <row r="10">
      <c r="A10" s="11" t="inlineStr">
        <is>
          <t>Python via code interpreter</t>
        </is>
      </c>
      <c r="B10" s="11" t="inlineStr">
        <is>
          <t>Voltage drop and other formula engineering, all of Silas's arithmetic</t>
        </is>
      </c>
      <c r="C10" s="11" t="inlineStr">
        <is>
          <t>All directors</t>
        </is>
      </c>
    </row>
    <row r="11">
      <c r="A11" s="11" t="inlineStr">
        <is>
          <t>KiCad CLI</t>
        </is>
      </c>
      <c r="B11" s="11" t="inlineStr">
        <is>
          <t>PCB design, DRC, export, driven through its Python API by the coding engine</t>
        </is>
      </c>
      <c r="C11" s="11" t="inlineStr">
        <is>
          <t>Domain 29, Valerie</t>
        </is>
      </c>
    </row>
    <row r="12">
      <c r="A12" s="11" t="inlineStr">
        <is>
          <t>Docling</t>
        </is>
      </c>
      <c r="B12" s="11" t="inlineStr">
        <is>
          <t>Document conversion for PDFs, Office files, scans into structured chunks with tables and page provenance</t>
        </is>
      </c>
      <c r="C12" s="11" t="inlineStr">
        <is>
          <t>Ingestion for every domain</t>
        </is>
      </c>
    </row>
    <row r="13">
      <c r="A13" s="11" t="inlineStr">
        <is>
          <t>Cross-platform build service</t>
        </is>
      </c>
      <c r="B13" s="11" t="inlineStr">
        <is>
          <t>Android NDK plus Gradle for .apk, MinGW-w64 for .exe, containerised. This is the "OmniBuild-KVM" capability, Android and Windows only</t>
        </is>
      </c>
      <c r="C13" s="11" t="inlineStr">
        <is>
          <t>Domain 1 and 5, Valerie</t>
        </is>
      </c>
    </row>
    <row r="14">
      <c r="A14" s="11" t="inlineStr">
        <is>
          <t>Playwright and browser automation</t>
        </is>
      </c>
      <c r="B14" s="11" t="inlineStr">
        <is>
          <t>Text-based DOM browsing for platforms without an API</t>
        </is>
      </c>
      <c r="C14" s="11" t="inlineStr">
        <is>
          <t>All directors, per tier</t>
        </is>
      </c>
    </row>
    <row r="16">
      <c r="A16" s="3" t="inlineStr">
        <is>
          <t>Phase 4 engines and their tiers</t>
        </is>
      </c>
    </row>
    <row r="17">
      <c r="A17" s="10" t="inlineStr">
        <is>
          <t>Engine</t>
        </is>
      </c>
      <c r="B17" s="10" t="inlineStr">
        <is>
          <t>Job</t>
        </is>
      </c>
      <c r="C17" s="10" t="inlineStr">
        <is>
          <t>Tier and evidence</t>
        </is>
      </c>
      <c r="D17" s="10" t="inlineStr">
        <is>
          <t>Footprint</t>
        </is>
      </c>
      <c r="E17" s="10" t="inlineStr">
        <is>
          <t>Owner</t>
        </is>
      </c>
    </row>
    <row r="18">
      <c r="A18" s="11" t="inlineStr">
        <is>
          <t>Wan2.2 (in place of Wan2.1)</t>
        </is>
      </c>
      <c r="B18" s="11" t="inlineStr">
        <is>
          <t>Video generation</t>
        </is>
      </c>
      <c r="C18" s="11" t="inlineStr">
        <is>
          <t>Green: validated on gfx1151 by maintained toolboxes</t>
        </is>
      </c>
      <c r="D18" s="11" t="inlineStr">
        <is>
          <t>20 to 40 GB</t>
        </is>
      </c>
      <c r="E18" s="11" t="inlineStr">
        <is>
          <t>Domain 12, Helena</t>
        </is>
      </c>
    </row>
    <row r="19">
      <c r="A19" s="11" t="inlineStr">
        <is>
          <t>FLUX.1-dev</t>
        </is>
      </c>
      <c r="B19" s="11" t="inlineStr">
        <is>
          <t>Image generation, architectural visualisation with LoRA (the "Arch-DiT" imagery use). The dev variant, chosen for quality over the Apache-licensed schnell variant; the Principal accepts the dev non-commercial licence (15.5)</t>
        </is>
      </c>
      <c r="C19" s="11" t="inlineStr">
        <is>
          <t>Green: validated on gfx1151</t>
        </is>
      </c>
      <c r="D19" s="11" t="inlineStr">
        <is>
          <t>12 to 24 GB</t>
        </is>
      </c>
      <c r="E19" s="11" t="inlineStr">
        <is>
          <t>Domains 8 and 12</t>
        </is>
      </c>
    </row>
    <row r="20">
      <c r="A20" s="11" t="inlineStr">
        <is>
          <t>Z-Image-Turbo; Qwen-Image-2512 for evaluation (v0.4.0, phased; C-11, S-16)</t>
        </is>
      </c>
      <c r="B20" s="11" t="inlineStr">
        <is>
          <t>Image generation: a permissive fast tier beside FLUX.1-dev (6B, Apache 2.0), and a larger Apache 2.0 engine to evaluate</t>
        </is>
      </c>
      <c r="C20" s="11" t="inlineStr">
        <is>
          <t>Phased after Day 1 (D-26 option (c)): not in phase4-engines.json on Day 1. To-do: their Phase 4 entries and build scripts, with stable-diffusion.cpp on Vulkan as the fallback runtime. The event: T-25 times them on gfx1151 in the ROCm 10.0 image after the Phase 4 gate</t>
        </is>
      </c>
      <c r="D20" s="11" t="inlineStr">
        <is>
          <t>about 12 GB (BF16); about 40 GB</t>
        </is>
      </c>
      <c r="E20" s="11" t="inlineStr">
        <is>
          <t>Domains 8 and 12</t>
        </is>
      </c>
    </row>
    <row r="21">
      <c r="A21" s="11" t="inlineStr">
        <is>
          <t>Qwen2.5-VL-72B at Q8_0 (retired in v0.4.0)</t>
        </is>
      </c>
      <c r="B21" s="11" t="inlineStr">
        <is>
          <t>Was the sole vision engine: documents, drawings, screenshots, scans</t>
        </is>
      </c>
      <c r="C21" s="11" t="inlineStr">
        <is>
          <t>Retired (S-10, S-11; D-20 option (a), D-21 option (a)): the vision engine is GLM-5.3-Flash with its glm5v projector, a Phase 3 GGUF engine on the default seat's own unit (5.1, 14.4), so nothing is built or pulled for it</t>
        </is>
      </c>
      <c r="D21" s="11" t="inlineStr">
        <is>
          <t>was 79 GB</t>
        </is>
      </c>
      <c r="E21" s="11" t="inlineStr">
        <is>
          <t>General. Valerie for drawings, Minerva for scans, Gideon for scanned contracts, now on GLM-5.3-Flash</t>
        </is>
      </c>
    </row>
    <row r="22">
      <c r="A22" s="11" t="inlineStr">
        <is>
          <t>Florence-2</t>
        </is>
      </c>
      <c r="B22" s="11" t="inlineStr">
        <is>
          <t>Lightweight vision, detection, captioning, OCR</t>
        </is>
      </c>
      <c r="C22" s="11" t="inlineStr">
        <is>
          <t>Green; the native florence-community checkpoints, no remote code (Section 23). *v0.4.0 (S-08):* when the phased OCR companion lands (C-04, T-19), whether Florence-2 keeps detection and captioning only is decided with it</t>
        </is>
      </c>
      <c r="D22" s="11" t="inlineStr">
        <is>
          <t>under 2 GB</t>
        </is>
      </c>
      <c r="E22" s="11" t="inlineStr">
        <is>
          <t>General</t>
        </is>
      </c>
    </row>
    <row r="23">
      <c r="A23" s="11" t="inlineStr">
        <is>
          <t>Chronos (Chronos-Bolt / Chronos-2)</t>
        </is>
      </c>
      <c r="B23" s="11" t="inlineStr">
        <is>
          <t>Time-series forecasting. TimesFM dropped in v0.3.1: its current 3.0 release is non-commercial (Section 23)</t>
        </is>
      </c>
      <c r="C23" s="11" t="inlineStr">
        <is>
          <t>Green, Apache-2.0</t>
        </is>
      </c>
      <c r="D23" s="11" t="inlineStr">
        <is>
          <t>under 5 GB</t>
        </is>
      </c>
      <c r="E23" s="11" t="inlineStr">
        <is>
          <t>Domain 21, Silas</t>
        </is>
      </c>
    </row>
    <row r="24">
      <c r="A24" s="11" t="inlineStr">
        <is>
          <t>Stable Audio Open</t>
        </is>
      </c>
      <c r="B24" s="11" t="inlineStr">
        <is>
          <t>Music and sound generation</t>
        </is>
      </c>
      <c r="C24" s="11" t="inlineStr">
        <is>
          <t>Green</t>
        </is>
      </c>
      <c r="D24" s="11" t="inlineStr">
        <is>
          <t>under 5 GB</t>
        </is>
      </c>
      <c r="E24" s="11" t="inlineStr">
        <is>
          <t>Domain 12, Helena</t>
        </is>
      </c>
    </row>
    <row r="25">
      <c r="A25" s="11" t="inlineStr">
        <is>
          <t>CosyVoice2</t>
        </is>
      </c>
      <c r="B25" s="11" t="inlineStr">
        <is>
          <t>Voice cloning alternative</t>
        </is>
      </c>
      <c r="C25" s="11" t="inlineStr">
        <is>
          <t>Green</t>
        </is>
      </c>
      <c r="D25" s="11" t="inlineStr">
        <is>
          <t>under 5 GB</t>
        </is>
      </c>
      <c r="E25" s="11" t="inlineStr">
        <is>
          <t>Voice layer, optional</t>
        </is>
      </c>
    </row>
    <row r="26">
      <c r="A26" s="11" t="inlineStr">
        <is>
          <t>UI-TARS-1.5-7B</t>
        </is>
      </c>
      <c r="B26" s="11" t="inlineStr">
        <is>
          <t>Vision-driven GUI automation for RewardPay and Wix design. UI-TARS 2.0 has no open weights (Section 23, watch-list 15.5)</t>
        </is>
      </c>
      <c r="C26" s="11" t="inlineStr">
        <is>
          <t>Green</t>
        </is>
      </c>
      <c r="D26" s="11" t="inlineStr">
        <is>
          <t>8 to 16 GB</t>
        </is>
      </c>
      <c r="E26" s="11" t="inlineStr">
        <is>
          <t>Domain 1, Valerie</t>
        </is>
      </c>
    </row>
    <row r="27">
      <c r="A27" s="11" t="inlineStr">
        <is>
          <t>OpenVLA</t>
        </is>
      </c>
      <c r="B27" s="11" t="inlineStr">
        <is>
          <t>Vision-language-action for robotics</t>
        </is>
      </c>
      <c r="C27" s="11" t="inlineStr">
        <is>
          <t>Green technically, dormant until hardware exists</t>
        </is>
      </c>
      <c r="D27" s="11" t="inlineStr">
        <is>
          <t>8 to 16 GB</t>
        </is>
      </c>
      <c r="E27" s="11" t="inlineStr">
        <is>
          <t>Domain 29, Valerie</t>
        </is>
      </c>
    </row>
    <row r="28">
      <c r="A28" s="11" t="inlineStr">
        <is>
          <t>Rad-DINO</t>
        </is>
      </c>
      <c r="B28" s="11" t="inlineStr">
        <is>
          <t>Radiology vision</t>
        </is>
      </c>
      <c r="C28" s="11" t="inlineStr">
        <is>
          <t>Green. *S56 (C-12, approved by the Principal on 2026-10-17):* Rad-DINO alone. MedGemma 1.5 4B joins it as an on-demand imaging tool, a companion and not an LLM seat, never resident, only once three things hold: the Principal accepts Google's HAI-DEF terms (an open box, Section 22); a new non-seat Arbiter class is built and tested, so that a read evicts the resident seat only for memory, never by seat exclusivity; and a node test shows its reads beat GLM-5.3-Flash's own vision on the same public cases. Then: BF16 weights (7.77 GB) with the BF16 mmproj (0.85 GB) from unsloth/medgemma-1.5-4b-it-GGUF, Q8_0 (4.13 GB) as the fallback, 1 × 32,768, about 10.8 GiB projected (INFERRED); each read a preliminary draft that Minerva's seat reasons over, never sent to the Principal unreviewed; reads batched so GLM is evicted at most once per batch. The terms, in brief (VERIFIED, fetched 2026-10-17): they bind every copy, the ungated unsloth GGUF included; no diagnosis and no automated healthcare decision (a licensed clinician decides); no serving to anyone else; other people's images, family members' included, only with their consent; the Principal indemnifies Google; Google may terminate, and every copy is then deleted; California law. *S57 (the Principal, 2026-10-17):* the licence decision is a task for the live ATLAS, with the Principal present to approve. After Day 1 ATLAS raises it and shows a plain summary of the HAI-DEF Terms of Use and Prohibited Use Policy, with their links (https://developers.google.com/health-ai-developer-foundations/terms and https://developers.google.com/health-ai-developer-foundations/prohibited-use-policy). The Principal decides. On a yes, the Principal accepts on the model's Hugging Face page (google/medgemma-1.5-4b-it, gated; VERIFIED 2026-10-17) with their own account; ATLAS never accepts for them (16.3 item 2). ATLAS then records the date and the terms version in the ledger (on 2026-10-17 the two pages read "Last modified" 15 and 14 November 2024, VERIFIED), pulls MedGemma 1.5 4B and runs the node test against GLM-5.3-Flash's own vision; the Arbiter-class condition above still applies. On a no, Rad-DINO alone. Rad-DINO stays research-use only per its card</t>
        </is>
      </c>
      <c r="D28" s="11" t="inlineStr">
        <is>
          <t>under 2 GB</t>
        </is>
      </c>
      <c r="E28" s="11" t="inlineStr">
        <is>
          <t>Domains 10 and 15, Minerva</t>
        </is>
      </c>
    </row>
    <row r="29">
      <c r="A29" s="11" t="inlineStr">
        <is>
          <t>SAM 2</t>
        </is>
      </c>
      <c r="B29" s="11" t="inlineStr">
        <is>
          <t>Image and video segmentation and tracking</t>
        </is>
      </c>
      <c r="C29" s="11" t="inlineStr">
        <is>
          <t>Green with limitation: build with the CUDA post-processing extension disabled, minor mask cleanup lost</t>
        </is>
      </c>
      <c r="D29" s="11" t="inlineStr">
        <is>
          <t>under 4 GB</t>
        </is>
      </c>
      <c r="E29" s="11" t="inlineStr">
        <is>
          <t>Domains 22 and 7</t>
        </is>
      </c>
    </row>
    <row r="30">
      <c r="A30" s="11" t="inlineStr">
        <is>
          <t>PointLLM</t>
        </is>
      </c>
      <c r="B30" s="11" t="inlineStr">
        <is>
          <t>Point-cloud understanding</t>
        </is>
      </c>
      <c r="C30" s="11" t="inlineStr">
        <is>
          <t>Verify V8: point-cloud ops often carry custom kernels. Licence CC-BY-NC-4.0 (research use; recorded under 16.5)</t>
        </is>
      </c>
      <c r="D30" s="11" t="inlineStr">
        <is>
          <t>8 to 16 GB</t>
        </is>
      </c>
      <c r="E30" s="11" t="inlineStr">
        <is>
          <t>Domains 8 and 29</t>
        </is>
      </c>
    </row>
    <row r="31">
      <c r="A31" s="11" t="inlineStr">
        <is>
          <t>Clay or Prithvi</t>
        </is>
      </c>
      <c r="B31" s="11" t="inlineStr">
        <is>
          <t>Satellite and geospatial analysis</t>
        </is>
      </c>
      <c r="C31" s="11" t="inlineStr">
        <is>
          <t>Verify V9</t>
        </is>
      </c>
      <c r="D31" s="11" t="inlineStr">
        <is>
          <t>under 5 GB</t>
        </is>
      </c>
      <c r="E31" s="11" t="inlineStr">
        <is>
          <t>Domain 7</t>
        </is>
      </c>
    </row>
    <row r="32">
      <c r="A32" s="11" t="inlineStr">
        <is>
          <t>Microsoft TRELLIS</t>
        </is>
      </c>
      <c r="B32" s="11" t="inlineStr">
        <is>
          <t>Image-to-3D</t>
        </is>
      </c>
      <c r="C32" s="11" t="inlineStr">
        <is>
          <t>Yellow: community ROCm forks exist but hit build errors on sparse-voxel kernels, attempt, log, move on</t>
        </is>
      </c>
      <c r="D32" s="11" t="inlineStr">
        <is>
          <t>8 to 12 GB</t>
        </is>
      </c>
      <c r="E32" s="11" t="inlineStr">
        <is>
          <t>Domains 8 and 12</t>
        </is>
      </c>
    </row>
    <row r="33">
      <c r="A33" s="11" t="inlineStr">
        <is>
          <t>Blender 4.5 LTS, Cycles (HIP)</t>
        </is>
      </c>
      <c r="B33" s="11" t="inlineStr">
        <is>
          <t>Photorealistic rendering, the beauty half of "Lumina-PBR"</t>
        </is>
      </c>
      <c r="C33" s="11" t="inlineStr">
        <is>
          <t>Yellow: works on this chip, occasional mid-render crashes reported, CPU-render fallback mandatory</t>
        </is>
      </c>
      <c r="D33" s="11" t="inlineStr">
        <is>
          <t>varies</t>
        </is>
      </c>
      <c r="E33" s="11" t="inlineStr">
        <is>
          <t>Domain 8, Valerie</t>
        </is>
      </c>
    </row>
    <row r="34">
      <c r="A34" s="11" t="inlineStr">
        <is>
          <t>Meditron-70B (retired in v0.4.0)</t>
        </is>
      </c>
      <c r="B34" s="11" t="inlineStr">
        <is>
          <t>Medical cross-check</t>
        </is>
      </c>
      <c r="C34" s="11" t="inlineStr">
        <is>
          <t>Retired (S-11; D-15 option (a), D-21 option (a), D18 reopening D12): Minerva's cross-check moves to Baichuan-M3-235B, phased (5.1); on Day 1 Arthur on DeepSeek-V4-Flash-0731 checks her drafts (9.2)</t>
        </is>
      </c>
      <c r="D34" s="11" t="inlineStr">
        <is>
          <t>was ~74 GB</t>
        </is>
      </c>
      <c r="E34" s="11" t="inlineStr">
        <is>
          <t>Domain 10, Minerva</t>
        </is>
      </c>
    </row>
    <row r="35">
      <c r="A35" s="11" t="inlineStr">
        <is>
          <t>Evo (Arc Institute)</t>
        </is>
      </c>
      <c r="B35" s="11" t="inlineStr">
        <is>
          <t>Genomics</t>
        </is>
      </c>
      <c r="C35" s="11" t="inlineStr">
        <is>
          <t>Deferred: port unverified, and this GPU lacks the FP8 hardware Evo's larger checkpoints expect</t>
        </is>
      </c>
      <c r="D35" s="11" t="inlineStr">
        <is>
          <t>n/a</t>
        </is>
      </c>
      <c r="E35" s="11" t="inlineStr">
        <is>
          <t>Domain 15</t>
        </is>
      </c>
    </row>
    <row r="36">
      <c r="A36" s="11" t="inlineStr">
        <is>
          <t>NVIDIA Modulus / PhysicsNeMo</t>
        </is>
      </c>
      <c r="B36" s="11" t="inlineStr">
        <is>
          <t>Physics simulation</t>
        </is>
      </c>
      <c r="C36" s="11" t="inlineStr">
        <is>
          <t>Deferred: CUDA-locked, would need an NVIDIA card in a USB4 external GPU dock, since this machine has no PCIe slot</t>
        </is>
      </c>
      <c r="D36" s="11" t="inlineStr">
        <is>
          <t>n/a</t>
        </is>
      </c>
      <c r="E36" s="11" t="inlineStr">
        <is>
          <t>Domains 8 and 9</t>
        </is>
      </c>
    </row>
    <row r="37">
      <c r="A37" s="2" t="inlineStr">
        <is>
          <t>v0.4.0: Qwen2.5-VL-72B and Meditron-70B are retired, their rows kept as the record: the vision engine is GLM-5.3-Flash with its glm5v projector, a Phase 3 GGUF engine, and Minerva's cross-check moves to the phased Baichuan-M3. The image tier (Z-Image-Turbo, Qwen-Image-2512) is phased after Day 1 (T-25). Rad-DINO stands alone until MedGemma 1.5 4B's conditions hold: the Principal's acceptance of the HAI-DEF terms, a non-seat Arbiter class and a node test against GLM-5.3-Flash's own vision (C-12, S56). Since S57 the decision is a task for the live ATLAS with the Principal present: on a yes the Principal accepts on the model's Hugging Face page with their own account, and ATLAS never accepts for them.</t>
        </is>
      </c>
    </row>
    <row r="39">
      <c r="A39" s="3" t="inlineStr">
        <is>
          <t>Engine watch-list: considered, not adopted (15.5; v0.4.0 adds the 2026 review's items, the phased DeepSeek V4.1 trial among them; S56 makes EmbeddingGemma 2's row the active one and adds Qwen3-Coder-Next and Qwen3-VL-Embedding-8B)</t>
        </is>
      </c>
    </row>
    <row r="40">
      <c r="A40" s="10" t="inlineStr">
        <is>
          <t>Engine</t>
        </is>
      </c>
      <c r="B40" s="10" t="inlineStr">
        <is>
          <t>What it does</t>
        </is>
      </c>
      <c r="C40" s="10" t="inlineStr">
        <is>
          <t>Why not now</t>
        </is>
      </c>
      <c r="D40" s="10" t="inlineStr">
        <is>
          <t>What would change the answer</t>
        </is>
      </c>
      <c r="E40" s="10" t="inlineStr">
        <is>
          <t>Would replace</t>
        </is>
      </c>
    </row>
    <row r="41">
      <c r="A41" s="11" t="inlineStr">
        <is>
          <t>Qwen3.8-LiveTranslate (19 Sep 2026)</t>
        </is>
      </c>
      <c r="B41" s="11" t="inlineStr">
        <is>
          <t>Real-time simultaneous interpretation: 60 languages understood, 29 spoken, about 2.3 s lag</t>
        </is>
      </c>
      <c r="C41" s="11" t="inlineStr">
        <is>
          <t>Hosted API only (Alibaba Cloud Model Studio, QwenCloud, WebSocket). No open weights. Fails the zero-cloud rule (Section 1) on inference off-node and audio leaving the machine</t>
        </is>
      </c>
      <c r="D41" s="11" t="inlineStr">
        <is>
          <t>An open-weights release. Qwen has released weights for Qwen3-Omni, so this is plausible</t>
        </is>
      </c>
      <c r="E41" s="11" t="inlineStr">
        <is>
          <t>Nothing. Live interpretation is an open gap; the Whisper to engine to Kokoro pipeline (14.1) does consecutive translation only, and only in Kokoro's eight languages</t>
        </is>
      </c>
    </row>
    <row r="42">
      <c r="A42" s="11" t="inlineStr">
        <is>
          <t>UI-TARS 2.0</t>
        </is>
      </c>
      <c r="B42" s="11" t="inlineStr">
        <is>
          <t>Vision-driven GUI agent, successor to the 1.5-7B build in 15.2</t>
        </is>
      </c>
      <c r="C42" s="11" t="inlineStr">
        <is>
          <t>Technical report only; no open weights as of September 2026</t>
        </is>
      </c>
      <c r="D42" s="11" t="inlineStr">
        <is>
          <t>An open-weights release</t>
        </is>
      </c>
      <c r="E42" s="11" t="inlineStr">
        <is>
          <t>UI-TARS-1.5-7B</t>
        </is>
      </c>
    </row>
    <row r="43">
      <c r="A43" s="11" t="inlineStr">
        <is>
          <t>Qwen-Image-2.1 (20 Sep 2026)</t>
        </is>
      </c>
      <c r="B43" s="11" t="inlineStr">
        <is>
          <t>Image generation and editing in one 7B checkpoint: native RGBA, 2K, up to ten reference images, strongest text-in-image of its class; about 14 GB BF16, GGUF available, plain BF16 path on gfx1151</t>
        </is>
      </c>
      <c r="C43" s="11" t="inlineStr">
        <is>
          <t>Qwen Research License, non-commercial only. Same restriction that excluded Fish Audio S2 (C20). Not a peer of the vision engine (Qwen2.5-VL-72B until v0.4.0, GLM-5.3-Flash since), which reads images; this one makes them</t>
        </is>
      </c>
      <c r="D43" s="11" t="inlineStr">
        <is>
          <t>Re-licensing to Apache-2.0 (Qwen did this for Qwen2.5 within months) or a commercial licence obtained by the Principal</t>
        </is>
      </c>
      <c r="E43" s="11" t="inlineStr">
        <is>
          <t>FLUX.1-dev outright: half the footprint, generate and edit in one model</t>
        </is>
      </c>
    </row>
    <row r="44">
      <c r="A44" s="11" t="inlineStr">
        <is>
          <t>DeepSeek V4.1 Flash trial (v0.4.0, phased; S-51)</t>
        </is>
      </c>
      <c r="B44" s="11" t="inlineStr">
        <is>
          <t>A 552B successor to the Apex's 0731 checkpoint, run for evaluation only, outside the routed roster: DwarfStar with antirez's Q2 file (365.71 GB, 151.76 GiB resident, KL about 0.26; 14 to 16.5 tok/s measured by others on a Strix Halo machine, UNVERIFIED here) in kyuz0's ROCm 10.0 container</t>
        </is>
      </c>
      <c r="C44" s="11" t="inlineStr">
        <is>
          <t>Every fitting V4.1 file is 2 to 3 bits; mainline llama.cpp cannot run it (next row); it needs a ROCm LLM container the node has never run. Approved as a phased trial (D-46 option (b), D-51 option (a), D-52 option (b), D-54 option (a), D-57 option (b)): pinned by image digest, source commit and file hashes, the inbox amdgpu driver only, locked memory for that container alone, registered with the Arbiter as an exclusive external engine, built after Day 1 and never by atlas-day1.sh, one trial file at a time</t>
        </is>
      </c>
      <c r="D44" s="11" t="inlineStr">
        <is>
          <t>*S56 (D-46, D-47, approved by the Principal on 2026-10-17):* a private 40-task set, scored pairwise and blind: A 16 TF_OMEGA apex syntheses, B 10 Deep Think adversary tasks with planted flaws, C 6 deep-tier final syntheses, D 4 long dossiers of about 32K tokens, E 4 exact computations. GLM-5.3-Flash and gpt-oss-120b judge in both orders (neither is a DeepSeek model); the Principal grades only split verdicts and 10 calibration tasks. Both arms run the same tasks at the production sampling and caps per role, with each arm's truncation rate recorded. The rule is written to the ledger before unblinding: V4.1 is promoted only with at least 26 wins of 40 decided pairs (p = 0.040), no more fatal errors than 0731, no loss in B, D or E, and the 4 tok/s deep-tier floor met; ties above 25% add 10 tasks. T-32's promise is at least 45% preference with no fatal excess (it was 55%). The V4.1 container is to run with no network while it holds the tasks. The runner is built (atlas-admin eval, phased). PR #28696 is still open on 2026-10-17, so D-51 (a) stands and the trial does not wait for it. Order: B, D and E drafted first from public material, A and C once the node is live, the 0731 arm right after the Day 1 gate. To-do: the trial build script and image (S-51), with the Arbiter change that registering it as an exclusive external engine needs (at v0.4.0 an external process is never exclusive, atlas/arbiter.py:80); the Principal's 8 to 10 TF_OMEGA situations, then approval of the drafts (trial-task-set). The event: Day 1 complete. T-29 checks the container first and T-31 its speed; the Lucebox engine is a second stage only if the first shows promise (T-32)</t>
        </is>
      </c>
      <c r="E44" s="11" t="inlineStr">
        <is>
          <t>DeepSeek-V4-Flash-0731 as the Apex, only if V4.1 wins T-30</t>
        </is>
      </c>
    </row>
    <row r="45">
      <c r="A45" s="11" t="inlineStr">
        <is>
          <t>DeepSeek V4.1 Flash runtimes: llama.cpp PR #28696 and ik_llama.cpp (added 2026-10-16, B-66)</t>
        </is>
      </c>
      <c r="B45" s="11" t="inlineStr">
        <is>
          <t>Mainline and fork support for V4.1</t>
        </is>
      </c>
      <c r="C45" s="11" t="inlineStr">
        <is>
          <t>No deepseek41 architecture in the pin. #28696 is open (still on 2026-10-17, VERIFIED), CPU and CUDA only, with a cap near 16K context and no backend kernels; its Q2_K would need 186.17 GiB resident and spill 30.2 GiB to the SSD. ik_llama.cpp merged V4.1 on 2026-09-21, CPU and CUDA only, an unmeasured path here (UNVERIFIED)</t>
        </is>
      </c>
      <c r="D45" s="11" t="inlineStr">
        <is>
          <t>#28696 merges with Vulkan or HIP kernels</t>
        </is>
      </c>
      <c r="E45" s="11" t="inlineStr">
        <is>
          <t>The trial's ROCm container (row above)</t>
        </is>
      </c>
    </row>
    <row r="46">
      <c r="A46" s="11" t="inlineStr">
        <is>
          <t>Single-stream speculative decoding (added 2026-10-16; D-61, B-34, D-64 option (a))</t>
        </is>
      </c>
      <c r="B46" s="11" t="inlineStr">
        <is>
          <t>A draft with exact verification: native MTP heads (GLM-5.3-Flash, Qwen3.8-Flash-Next, Nemotron 3 Super) or DSpark for DeepSeek-V4-Flash-0731. It pays off here because the seats run one at a time</t>
        </is>
      </c>
      <c r="C46" s="11" t="inlineStr">
        <is>
          <t>No drafter is pulled on Day 1, and draft acceptance at the node's own temperatures (0.15, 0.2 and 0.6; 1.0 is only the server default, S56) is unmeasured. DSpark (10.90 GB) does not fit beside UD-Q8_K_XL in the ~156 GiB budget (160.90 GiB together, INFERRED), so it applies to DeepSeek only at a lower rung; separate draft models are never used</t>
        </is>
      </c>
      <c r="D46" s="11" t="inlineStr">
        <is>
          <t>Decided per engine after the Phase 3 speed records, with acceptance measured at temperatures 0, 0.15, 0.6 and 1.0 (T-06, D-47, S56), first in the V4.1 trial (T-31); phased with the drafters (5.1)</t>
        </is>
      </c>
      <c r="E46" s="11" t="inlineStr">
        <is>
          <t>Nothing: a lossless acceleration under 16.1 rule 9</t>
        </is>
      </c>
    </row>
    <row r="47">
      <c r="A47" s="11" t="inlineStr">
        <is>
          <t>GLM Legal (added 2026-10-16, B-61)</t>
        </is>
      </c>
      <c r="B47" s="11" t="inlineStr">
        <is>
          <t>A legal model of the GLM family, the top open-weight result on Vals' LegalBench (about 86.2%, UNVERIFIED here)</t>
        </is>
      </c>
      <c r="C47" s="11" t="inlineStr">
        <is>
          <t>API beta only; parameter count, licence and GGUF unknown. Fails the zero-cloud rule (Section 1)</t>
        </is>
      </c>
      <c r="D47" s="11" t="inlineStr">
        <is>
          <t>Open weights with a GGUF that fits alone and a licence that can be read</t>
        </is>
      </c>
      <c r="E47" s="11" t="inlineStr">
        <is>
          <t>GLM-5.3-Flash on Gideon's legal work</t>
        </is>
      </c>
    </row>
    <row r="48">
      <c r="A48" s="11" t="inlineStr">
        <is>
          <t>Mistral Large 4 (added 2026-10-16, B-61)</t>
        </is>
      </c>
      <c r="B48" s="11" t="inlineStr">
        <is>
          <t>About 1.05T parameters</t>
        </is>
      </c>
      <c r="C48" s="11" t="inlineStr">
        <is>
          <t>Vals lists it as open-weight (released 2026-10-06), but no mistralai weights repository existed on 2026-10-15; at that size no rung of 4 bits or more fits the budget (INFERRED)</t>
        </is>
      </c>
      <c r="D48" s="11" t="inlineStr">
        <is>
          <t>Weights published with a rung that fits alone</t>
        </is>
      </c>
      <c r="E48" s="11" t="inlineStr">
        <is>
          <t>Nothing named</t>
        </is>
      </c>
    </row>
    <row r="49">
      <c r="A49" s="11" t="inlineStr">
        <is>
          <t>Nemotron 4 (added 2026-10-16, B-61)</t>
        </is>
      </c>
      <c r="B49" s="11" t="inlineStr">
        <is>
          <t>NVIDIA's next Nemotron line</t>
        </is>
      </c>
      <c r="C49" s="11" t="inlineStr">
        <is>
          <t>In training; no release date</t>
        </is>
      </c>
      <c r="D49" s="11" t="inlineStr">
        <is>
          <t>A release with a rung that fits alone</t>
        </is>
      </c>
      <c r="E49" s="11" t="inlineStr">
        <is>
          <t>Nemotron 3 Super (phased, 5.1)</t>
        </is>
      </c>
    </row>
    <row r="50">
      <c r="A50" s="11" t="inlineStr">
        <is>
          <t>Nemotron 3 Puzzle 75B-A9B (added 2026-10-16, S-52, S-57)</t>
        </is>
      </c>
      <c r="B50" s="11" t="inlineStr">
        <is>
          <t>A 75B MoE with 9B active, OpenMDW-1.1</t>
        </is>
      </c>
      <c r="C50" s="11" t="inlineStr">
        <is>
          <t>Not allocated a seat in the 2026 review; on Vulkan only its Q8_0 decodes correctly, 4-bit MoE quants collapse (llama.cpp PR #25444; UNVERIFIED here)</t>
        </is>
      </c>
      <c r="D50" s="11" t="inlineStr">
        <is>
          <t>A seat the Day 1 engines leave open, and a node test at Q8_0</t>
        </is>
      </c>
      <c r="E50" s="11" t="inlineStr">
        <is>
          <t>Nothing named</t>
        </is>
      </c>
    </row>
    <row r="51">
      <c r="A51" s="11" t="inlineStr">
        <is>
          <t>300B-class engines at 3 bits: Qwen3.5-397B (UD-IQ3_XXS) and K2-Horizon-375B (IQ3_XXS, loadable since b11454) (added 2026-10-16, S-57)</t>
        </is>
      </c>
      <c r="B51" s="11" t="inlineStr">
        <is>
          <t>Large MoE engines whose only fitting rungs are 3-bit</t>
        </is>
      </c>
      <c r="C51" s="11" t="inlineStr">
        <is>
          <t>The least-quantised rule (Section 1; D-24 option (a), D-11 option (d))</t>
        </is>
      </c>
      <c r="D51" s="11" t="inlineStr">
        <is>
          <t>A rung of 4 bits or more that fits alone: a smaller release, or a larger budget (W-DGPU, 3.7)</t>
        </is>
      </c>
      <c r="E51" s="11" t="inlineStr">
        <is>
          <t>Nothing named</t>
        </is>
      </c>
    </row>
    <row r="52">
      <c r="A52" s="11" t="inlineStr">
        <is>
          <t>Harrier-27B (added 2026-10-16, S-52, S-57)</t>
        </is>
      </c>
      <c r="B52" s="11" t="inlineStr">
        <is>
          <t>A 27B embedder, 74.3 on MTEB multilingual (UNVERIFIED here)</t>
        </is>
      </c>
      <c r="C52" s="11" t="inlineStr">
        <is>
          <t>Not faithful at the pin: llama.cpp's gemma-embedding loader forces bidirectional attention on a model trained causal with last-token pooling (the 2026 review; UNVERIFIED here)</t>
        </is>
      </c>
      <c r="D52" s="11" t="inlineStr">
        <is>
          <t>A loader fix in a llama.cpp the node pins, then T-15's hit-rate test</t>
        </is>
      </c>
      <c r="E52" s="11" t="inlineStr">
        <is>
          <t>Qwen3-Embedding-4B (5.3)</t>
        </is>
      </c>
    </row>
    <row r="53">
      <c r="A53" s="11" t="inlineStr">
        <is>
          <t>EmbeddingGemma 2 (S-57; dropped by the Principal on 2026-10-17, D-60 (b), S56)</t>
        </is>
      </c>
      <c r="B53" s="11" t="inlineStr">
        <is>
          <t>A 0.31 GB code and multimodal embedder (b11452 or later), Apache 2.0</t>
        </is>
      </c>
      <c r="C53" s="11" t="inlineStr">
        <is>
          <t>Below Qwen3-Embedding-4B on every text board, code included (MTEB multilingual 61.36 against 69.45; MTEB code 78.68 against 80.06), and below Qwen3-VL-Embedding on images and video (MMEB-V2 59.01 against 73.4 for its 2B); the one job it alone does among the models reviewed is non-speech audio search (all vendor scores, VERIFIED from the cards and Qwen's paper)</t>
        </is>
      </c>
      <c r="D53" s="11" t="inlineStr">
        <is>
          <t>The Principal needs non-speech audio search (then compare it with a CLAP model first); Qwen3-VL-Embedding fails a cosine-parity test at the pin while it passes; media search must never evict GLM-5.3-Flash (its 0.79 GiB text-query path is the only one that fits that margin, INFERRED); or an independent MTEB or MMEB result puts it well above its card</t>
        </is>
      </c>
      <c r="E53" s="11" t="inlineStr">
        <is>
          <t>Nothing: the primary pair is unchanged</t>
        </is>
      </c>
    </row>
    <row r="54">
      <c r="A54" s="11" t="inlineStr">
        <is>
          <t>Qwen3-Coder-Next (S56; dropped by the Principal on 2026-10-17, D-19 (c); it was a phased seat)</t>
        </is>
      </c>
      <c r="B54" s="11" t="inlineStr">
        <is>
          <t>An 80B coder, 79.7B MoE with 3B active, Apache 2.0 per its card; Q8_0 84.81 GB, non-thinking, 37 to 44 tok/s projected</t>
        </is>
      </c>
      <c r="C54" s="11" t="inlineStr">
        <is>
          <t>Out-ranked on every independent board by both Day 1 seats: Artificial Analysis gives Terminal-Bench 2.1 38.20 against GLM-5.3-Flash's 84.27 and DeepSeek-V4-Flash-0731's 78.65, and Vals' SWE-bench Verified has no Coder-Next row against GLM's 92.00 (VERIFIED 2026-10-17). A dedicated seat would also add a swap to every coding excursion. GLM-5.3-Flash codes, provisional until T-03's coding set</t>
        </is>
      </c>
      <c r="D54" s="11" t="inlineStr">
        <is>
          <t>A coding time ceiling per task that GLM's measured time misses (then D-19 (a), Q8_0); an independent fixed-harness result within about 5 points of GLM on SWE-bench Verified or Terminal-Bench; or a new coder of 70B or more that fits about 156 GiB and beats GLM</t>
        </is>
      </c>
      <c r="E54" s="11" t="inlineStr">
        <is>
          <t>GLM-5.3-Flash as the coding engine</t>
        </is>
      </c>
    </row>
    <row r="55">
      <c r="A55" s="11" t="inlineStr">
        <is>
          <t>Qwen3-VL-Embedding-8B (S56; recorded, not built, D-60)</t>
        </is>
      </c>
      <c r="B55" s="11" t="inlineStr">
        <is>
          <t>A multimodal embedder for photos, screenshots, scans and video, Apache 2.0; MMEB-V2 77.9, its 2B 73.4 (vendor scores)</t>
        </is>
      </c>
      <c r="C55" s="11" t="inlineStr">
        <is>
          <t>No media corpus and no request for media search yet. It would sit beside the text index, never replace it (MMTEB 67.88 against Qwen3-Embedding-4B's 69.45); every media query would evict the resident seat unless batched; and an on-demand GPU embedder needs a non-resident Arbiter class that does not exist yet (C-12, 15.2)</t>
        </is>
      </c>
      <c r="D55" s="11" t="inlineStr">
        <is>
          <t>The Principal asks for photo, screenshot, scan or video search, with Day 1 complete, T-15 done and a media corpus in place. It then becomes its own item: per-hemisphere collections kept apart from the text vectors, ingest batched while gpt-oss-120b or no seat is resident, a cosine-parity test at the pin first, and ffmpeg for video (the 2B if query-time evictions prove too costly)</t>
        </is>
      </c>
      <c r="E55" s="11" t="inlineStr">
        <is>
          <t>Nothing: a media index beside the text pair</t>
        </is>
      </c>
    </row>
    <row r="56">
      <c r="A56" s="11" t="inlineStr">
        <is>
          <t>A speech endpoint in llama-server, llama.cpp PR #26603 (added 2026-10-16, S-57)</t>
        </is>
      </c>
      <c r="B56" s="11" t="inlineStr">
        <is>
          <t>Text-to-speech served by llama-server itself</t>
        </is>
      </c>
      <c r="C56" s="11" t="inlineStr">
        <is>
          <t>Open upstream; until it merges, Qwen3-TTS runs only through the llama-tts tool (14.1)</t>
        </is>
      </c>
      <c r="D56" s="11" t="inlineStr">
        <is>
          <t>The PR merges into a build the node pins</t>
        </is>
      </c>
      <c r="E56" s="11" t="inlineStr">
        <is>
          <t>llama-tts for the Qwen3-TTS test</t>
        </is>
      </c>
    </row>
    <row r="57">
      <c r="A57" s="2" t="inlineStr">
        <is>
          <t>Decision recorded 2026-09-21: FLUX.1-dev stays as the image engine, quality being the deciding factor. FLUX.1-dev carries the same non-commercial licence as Qwen-Image-2.1, so the licence does not separate them; validation on gfx1151 does.</t>
        </is>
      </c>
    </row>
    <row r="59">
      <c r="A59" s="3" t="inlineStr">
        <is>
          <t>Considered and not adopted (15.5, v0.4.0): the rule each fails</t>
        </is>
      </c>
    </row>
    <row r="60">
      <c r="A60" s="10" t="inlineStr">
        <is>
          <t>Rule it fails</t>
        </is>
      </c>
      <c r="B60" s="10" t="inlineStr">
        <is>
          <t>Engines and companions</t>
        </is>
      </c>
      <c r="C60" s="10" t="inlineStr">
        <is>
          <t>Register</t>
        </is>
      </c>
    </row>
    <row r="61">
      <c r="A61" s="11" t="inlineStr">
        <is>
          <t>Below the 70B floor for an LLM seat (Section 1)</t>
        </is>
      </c>
      <c r="B61" s="11" t="inlineStr">
        <is>
          <t>Qwen3.8-27B, Gemma 4 31B and MedGemma-27B; Nemotron 3.5 Lightning 30B-A3B, Muse Glimmer 28B, Qwen3.6-27B and Qwen3.6-35B-A3B</t>
        </is>
      </c>
      <c r="C61" s="11" t="inlineStr">
        <is>
          <t>D-15 (d), D-19 (d), D-20 (f)</t>
        </is>
      </c>
    </row>
    <row r="62">
      <c r="A62" s="11" t="inlineStr">
        <is>
          <t>Only 1- to 3-bit rungs fit (the least-quantised rule)</t>
        </is>
      </c>
      <c r="B62" s="11" t="inlineStr">
        <is>
          <t>Llama 4 Maverick, Mistral Large 3 (1-bit), Intern-S2-397B (2-bit), Hy3, and the two 3-bit engines on the watch-list above</t>
        </is>
      </c>
      <c r="C62" s="11" t="inlineStr">
        <is>
          <t>D-24 (a), D-11 (d)</t>
        </is>
      </c>
    </row>
    <row r="63">
      <c r="A63" s="11" t="inlineStr">
        <is>
          <t>Dense 120B-class models decode at about 2 tok/s or less (D-24)</t>
        </is>
      </c>
      <c r="B63" s="11" t="inlineStr">
        <is>
          <t>Mistral Medium 3.5 (128B), Devstral 2 (123B); Mistral Large 2 Uncensored, the named Ollama build (legacy Q4_0, a system prompt that instructs falsification, a research-only licence), with its weight-edited XORTRON alternative (about 1.7 tok/s)</t>
        </is>
      </c>
      <c r="C63" s="11" t="inlineStr">
        <is>
          <t>D-06 (a), D-24 (a)</t>
        </is>
      </c>
    </row>
    <row r="64">
      <c r="A64" s="11" t="inlineStr">
        <is>
          <t>Out-ranked at a fitting rung by the adopted engines (the 2026 allocation)</t>
        </is>
      </c>
      <c r="B64" s="11" t="inlineStr">
        <is>
          <t>Qwen3-235B-A22B (a 2025 generation; Intern-S1, its science post-train, carries the lineage), Step-3.7-Flash, Mistral Small 4 (its experts ran on the CPU on stock Vulkan builds), Qwen3-VL-235B (the vision runner-up), Apertus-70B-MeditronFO</t>
        </is>
      </c>
      <c r="C64" s="11" t="inlineStr">
        <is>
          <t>D-10 (a), D-15 (a), D-20 (a)</t>
        </is>
      </c>
    </row>
    <row r="65">
      <c r="A65" s="11" t="inlineStr">
        <is>
          <t>Leaving the roster</t>
        </is>
      </c>
      <c r="B65" s="11" t="inlineStr">
        <is>
          <t>Qwen3.5-122B-A10B, Qwen2.5-VL-72B, Meditron-70B (5.1)</t>
        </is>
      </c>
      <c r="C65" s="11" t="inlineStr">
        <is>
          <t>D-21 (a)</t>
        </is>
      </c>
    </row>
    <row r="66">
      <c r="A66" s="11" t="inlineStr">
        <is>
          <t>Out of envelope: no rung fits alone at a precision the rules accept</t>
        </is>
      </c>
      <c r="B66" s="11" t="inlineStr">
        <is>
          <t>Nemotron 3 Ultra 550B-A55B, Qwen3.8-2.4T-A95B (also under its own Qwen3.8-Max licence), MiMo-V2.6-Pro, GLM-5.3 (744B), Kimi K3</t>
        </is>
      </c>
      <c r="C66" s="11" t="inlineStr">
        <is>
          <t>S-52</t>
        </is>
      </c>
    </row>
    <row r="67">
      <c r="A67" s="11" t="inlineStr">
        <is>
          <t>Experimental, with no node test</t>
        </is>
      </c>
      <c r="B67" s="11" t="inlineStr">
        <is>
          <t>DeepSeek-V4-Flash-Vision-Exp (its projector type is in the pin)</t>
        </is>
      </c>
      <c r="C67" s="11" t="inlineStr">
        <is>
          <t>S-52</t>
        </is>
      </c>
    </row>
    <row r="68">
      <c r="A68" s="11" t="inlineStr">
        <is>
          <t>Vision at the pin but not allocated: ATLAS keeps one vision engine (C29)</t>
        </is>
      </c>
      <c r="B68" s="11" t="inlineStr">
        <is>
          <t>Stock MiMo-V2.6-Flash, MiniMax-M3, Qwen3.8-Flash-Next with its mmproj</t>
        </is>
      </c>
      <c r="C68" s="11" t="inlineStr">
        <is>
          <t>D-20 (a)</t>
        </is>
      </c>
    </row>
    <row r="69">
      <c r="A69" s="11" t="inlineStr">
        <is>
          <t>Non-commercial licence</t>
        </is>
      </c>
      <c r="B69" s="11" t="inlineStr">
        <is>
          <t>FLUX.2-dev (also a 24B text encoder); the voice and diarisation exclusions are in 14.1</t>
        </is>
      </c>
      <c r="C69" s="11" t="inlineStr">
        <is>
          <t>C-11</t>
        </is>
      </c>
    </row>
    <row r="70">
      <c r="A70" s="11" t="inlineStr">
        <is>
          <t>Router alternatives with no measured advantage (the 4B router is kept)</t>
        </is>
      </c>
      <c r="B70" s="11" t="inlineStr">
        <is>
          <t>Gemma 4 E4B, Granite 4.1 8B</t>
        </is>
      </c>
      <c r="C70" s="11" t="inlineStr">
        <is>
          <t>C-01</t>
        </is>
      </c>
    </row>
    <row r="71">
      <c r="A71" s="11" t="inlineStr">
        <is>
          <t>Zero-cloud (Section 1)</t>
        </is>
      </c>
      <c r="B71" s="11" t="inlineStr">
        <is>
          <t>Lucebox's appliance software: its updater, Manage, Connect, Tailscale, crash reporting and cloud fallback. Of Lucebox's software only its Apache 2.0 engine may ever be built, from a pinned commit inside the trial container, and only if the trial reaches its second stage</t>
        </is>
      </c>
      <c r="C71" s="11" t="inlineStr">
        <is>
          <t>D-55 (b), S-56</t>
        </is>
      </c>
    </row>
    <row r="72">
      <c r="A72" s="2" t="inlineStr">
        <is>
          <t>Recorded with the register rows that left each out (approved by the Principal on 2026-10-16). None is on the node, and none is re-checked unless a later release or a watch-list row changes the answer.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4"/>
  <sheetViews>
    <sheetView showGridLines="0" workbookViewId="0">
      <pane ySplit="3" topLeftCell="A4" activePane="bottomLeft" state="frozen"/>
      <selection pane="bottomLeft" activeCell="A1" sqref="A1"/>
    </sheetView>
  </sheetViews>
  <sheetFormatPr baseColWidth="8" defaultRowHeight="15"/>
  <cols>
    <col width="12" customWidth="1" min="1" max="1"/>
    <col width="70" customWidth="1" min="2" max="2"/>
    <col width="60" customWidth="1" min="3" max="3"/>
  </cols>
  <sheetData>
    <row r="1">
      <c r="A1" s="1" t="inlineStr">
        <is>
          <t>Ref Governance</t>
        </is>
      </c>
    </row>
    <row r="2">
      <c r="A2" s="2" t="inlineStr">
        <is>
          <t>Section 16. The never-without-the-Principal list is decision D8; the approval tiers are agreed. v0.4.0 adds standing rules 9 (routed engines use only lossless accelerations, S-50) and 10 (the arsenal admission rules, S-13). S57: item 2 covers every licence and terms of use; ATLAS never accepts terms on the Principal's behalf.</t>
        </is>
      </c>
    </row>
    <row r="4">
      <c r="A4" s="3" t="inlineStr">
        <is>
          <t>Standing rules</t>
        </is>
      </c>
    </row>
    <row r="5">
      <c r="A5" s="10" t="inlineStr">
        <is>
          <t>#</t>
        </is>
      </c>
      <c r="B5" s="10" t="inlineStr">
        <is>
          <t>Rule</t>
        </is>
      </c>
    </row>
    <row r="6">
      <c r="A6" s="11" t="inlineStr">
        <is>
          <t>1</t>
        </is>
      </c>
      <c r="B6" s="11" t="inlineStr">
        <is>
          <t>The Principal speaks only to Ren or Arthur. Shadow Cabinet output is never surfaced directly; the hemisphere synthesises and speaks.</t>
        </is>
      </c>
    </row>
    <row r="7">
      <c r="A7" s="11" t="inlineStr">
        <is>
          <t>2</t>
        </is>
      </c>
      <c r="B7" s="11" t="inlineStr">
        <is>
          <t>Directors correspond externally under their own identities for routine and standard matters; Ren and Arthur are reserved for matters that warrant them.</t>
        </is>
      </c>
    </row>
    <row r="8">
      <c r="A8" s="11" t="inlineStr">
        <is>
          <t>3</t>
        </is>
      </c>
      <c r="B8" s="11" t="inlineStr">
        <is>
          <t>Every outbound action passes the approval gate in code (16.2). This is a hard code path, not a prompt instruction.</t>
        </is>
      </c>
    </row>
    <row r="9">
      <c r="A9" s="11" t="inlineStr">
        <is>
          <t>4</t>
        </is>
      </c>
      <c r="B9" s="11" t="inlineStr">
        <is>
          <t>ATLAS never discloses its AI nature externally. Recorded as a legal exposure in R12; the approval gate is the control.</t>
        </is>
      </c>
    </row>
    <row r="10">
      <c r="A10" s="11" t="inlineStr">
        <is>
          <t>5</t>
        </is>
      </c>
      <c r="B10" s="11" t="inlineStr">
        <is>
          <t>ATLAS never delegates work back to the Principal. A rewrite pass removes any task-shaped request to the Principal; only decisions and approvals may be asked.</t>
        </is>
      </c>
    </row>
    <row r="11">
      <c r="A11" s="11" t="inlineStr">
        <is>
          <t>6</t>
        </is>
      </c>
      <c r="B11" s="11" t="inlineStr">
        <is>
          <t>Register differs between Principal and external recipients (6.4).</t>
        </is>
      </c>
    </row>
    <row r="12">
      <c r="A12" s="11" t="inlineStr">
        <is>
          <t>7</t>
        </is>
      </c>
      <c r="B12" s="11" t="inlineStr">
        <is>
          <t>Cross-domain requests must trigger their task-force preset (8.3).</t>
        </is>
      </c>
    </row>
    <row r="13">
      <c r="A13" s="11" t="inlineStr">
        <is>
          <t>8</t>
        </is>
      </c>
      <c r="B13" s="11" t="inlineStr">
        <is>
          <t>Money never moves without the Principal. Two-factor prompts are never automated.</t>
        </is>
      </c>
    </row>
    <row r="14">
      <c r="A14" s="11" t="inlineStr">
        <is>
          <t>9</t>
        </is>
      </c>
      <c r="B14" s="11" t="inlineStr">
        <is>
          <t>*v0.4.0 (S-50; D-56 options (a) and (b), approved by the Principal on 2026-10-16 in the returned action register):* routed engines use only lossless accelerations: the default expert count, speculative decoding with exact verification, and prefix caching. An approximate switch (a per-box router bias, a bounded sliding-window replay in the decoder, sparse prefill) is allowed only inside the V4.1 trial, each scored against the same file without it; vendor speed settings that change results, such as running fewer experts, never.</t>
        </is>
      </c>
    </row>
    <row r="15">
      <c r="A15" s="11" t="inlineStr">
        <is>
          <t>10</t>
        </is>
      </c>
      <c r="B15" s="11" t="inlineStr">
        <is>
          <t>*v0.4.0 (S-13):* every engine is admitted under Section 1's arsenal rules: no LLM seat under about 70B total parameters, each engine alone with the whole engine budget, quality before speed, and the least-quantised rung that fits, with its measured quality cost stated.</t>
        </is>
      </c>
    </row>
    <row r="17">
      <c r="A17" s="3" t="inlineStr">
        <is>
          <t>Approval tiers</t>
        </is>
      </c>
    </row>
    <row r="18">
      <c r="A18" s="10" t="inlineStr">
        <is>
          <t>Tier</t>
        </is>
      </c>
      <c r="B18" s="10" t="inlineStr">
        <is>
          <t>Examples</t>
        </is>
      </c>
      <c r="C18" s="10" t="inlineStr">
        <is>
          <t>Behaviour</t>
        </is>
      </c>
    </row>
    <row r="19">
      <c r="A19" s="11" t="inlineStr">
        <is>
          <t>Routine</t>
        </is>
      </c>
      <c r="B19" s="11" t="inlineStr">
        <is>
          <t>Meeting scheduling, confirmations, acknowledgements</t>
        </is>
      </c>
      <c r="C19" s="11" t="inlineStr">
        <is>
          <t>Pre-approved categories, sent automatically, logged for review</t>
        </is>
      </c>
    </row>
    <row r="20">
      <c r="A20" s="11" t="inlineStr">
        <is>
          <t>Standard</t>
        </is>
      </c>
      <c r="B20" s="11" t="inlineStr">
        <is>
          <t>Replies with substance, requests, negotiations, content updates, DNS changes; configuration proposals from Domain 20 (retention, window, maintenance; S53), submitted by a hemisphere lead in the Principal register</t>
        </is>
      </c>
      <c r="C20" s="11" t="inlineStr">
        <is>
          <t>Drafted, held until the Principal approves. For a configuration proposal the approval records the decision and the Principal applies the change as root (16.3 item 6); ATLAS applies nothing</t>
        </is>
      </c>
    </row>
    <row r="21">
      <c r="A21" s="11" t="inlineStr">
        <is>
          <t>Sensitive</t>
        </is>
      </c>
      <c r="B21" s="11" t="inlineStr">
        <is>
          <t>Legal, financial, medical, estate, security, any payment, anything under a sensitive-tier task force</t>
        </is>
      </c>
      <c r="C21" s="11" t="inlineStr">
        <is>
          <t>Drafted, held, flagged with the director's reasoning; strong cross-check applied automatically</t>
        </is>
      </c>
    </row>
    <row r="23">
      <c r="A23" s="3" t="inlineStr">
        <is>
          <t>Never without the Principal (proposed, D8)</t>
        </is>
      </c>
    </row>
    <row r="24">
      <c r="A24" s="10" t="inlineStr">
        <is>
          <t>#</t>
        </is>
      </c>
      <c r="B24" s="10" t="inlineStr">
        <is>
          <t>Action</t>
        </is>
      </c>
    </row>
    <row r="25">
      <c r="A25" s="11" t="inlineStr">
        <is>
          <t>1</t>
        </is>
      </c>
      <c r="B25" s="11" t="inlineStr">
        <is>
          <t>Move money, initiate a payment, or change a payment method.</t>
        </is>
      </c>
    </row>
    <row r="26">
      <c r="A26" s="11" t="inlineStr">
        <is>
          <t>2</t>
        </is>
      </c>
      <c r="B26" s="11" t="inlineStr">
        <is>
          <t>Sign, accept, or bind to a contract or terms.</t>
        </is>
      </c>
    </row>
    <row r="27">
      <c r="A27" s="11" t="inlineStr">
        <is>
          <t>3</t>
        </is>
      </c>
      <c r="B27" s="11" t="inlineStr">
        <is>
          <t>Send external correspondence above the routine tier.</t>
        </is>
      </c>
    </row>
    <row r="28">
      <c r="A28" s="11" t="inlineStr">
        <is>
          <t>4</t>
        </is>
      </c>
      <c r="B28" s="11" t="inlineStr">
        <is>
          <t>Change DNS, domain, or Cloudflare security settings.</t>
        </is>
      </c>
    </row>
    <row r="29">
      <c r="A29" s="11" t="inlineStr">
        <is>
          <t>5</t>
        </is>
      </c>
      <c r="B29" s="11" t="inlineStr">
        <is>
          <t>Delete, move, or modify vault contents or backups.</t>
        </is>
      </c>
    </row>
    <row r="30">
      <c r="A30" s="11" t="inlineStr">
        <is>
          <t>6</t>
        </is>
      </c>
      <c r="B30" s="11" t="inlineStr">
        <is>
          <t>Modify its own code, configuration, approval tiers, router rules, or the allowlist. Domain 20 proposes; the Principal approves.</t>
        </is>
      </c>
    </row>
    <row r="31">
      <c r="A31" s="11" t="inlineStr">
        <is>
          <t>7</t>
        </is>
      </c>
      <c r="B31" s="11" t="inlineStr">
        <is>
          <t>Enable continuous vision or audio capture.</t>
        </is>
      </c>
    </row>
    <row r="32">
      <c r="A32" s="11" t="inlineStr">
        <is>
          <t>8</t>
        </is>
      </c>
      <c r="B32" s="11" t="inlineStr">
        <is>
          <t>Install software or pull models from outside the allowlist.</t>
        </is>
      </c>
    </row>
    <row r="33">
      <c r="A33" s="11" t="inlineStr">
        <is>
          <t>9</t>
        </is>
      </c>
      <c r="B33" s="11" t="inlineStr">
        <is>
          <t>Share any Principal data with a third party not already connected under Section 13.</t>
        </is>
      </c>
    </row>
    <row r="34">
      <c r="A34" s="11" t="inlineStr">
        <is>
          <t>10</t>
        </is>
      </c>
      <c r="B34" s="11" t="inlineStr">
        <is>
          <t>Create new external identities, accounts, or mailboxes.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0"/>
  <sheetViews>
    <sheetView showGridLines="0" workbookViewId="0">
      <pane ySplit="3" topLeftCell="A4" activePane="bottomLeft" state="frozen"/>
      <selection pane="bottomLeft" activeCell="A1" sqref="A1"/>
    </sheetView>
  </sheetViews>
  <sheetFormatPr baseColWidth="8" defaultRowHeight="15"/>
  <cols>
    <col width="24" customWidth="1" min="1" max="1"/>
    <col width="95" customWidth="1" min="2" max="2"/>
    <col width="30" customWidth="1" min="3" max="3"/>
    <col width="70" customWidth="1" min="4" max="4"/>
  </cols>
  <sheetData>
    <row r="1">
      <c r="A1" s="1" t="inlineStr">
        <is>
          <t>Ref Day 1</t>
        </is>
      </c>
    </row>
    <row r="2">
      <c r="A2" s="2" t="inlineStr">
        <is>
          <t>Section 17. Four phases; each ends with a printed pass/fail gate. Phases 3 and 4 run detached and resumable. v0.4.0: Phase 3 pulls the four Day 1 LLM repositories (about 448 GB), adds step 2b (V25, the output parity of the re-pin) and step 2c (the quality record, to-do kld-run), and proves single residency in step 3 (V21). S56 (2026-10-17): V10 gates on the decode floors at 8k, the prefill floors and the placement checks, and the pull is about 2.5 hours at the 400 Mbps planning figure.</t>
        </is>
      </c>
    </row>
    <row r="4">
      <c r="A4" s="3" t="inlineStr">
        <is>
          <t>Expected durations</t>
        </is>
      </c>
    </row>
    <row r="5">
      <c r="A5" s="10" t="inlineStr">
        <is>
          <t>Phase</t>
        </is>
      </c>
      <c r="B5" s="10" t="inlineStr">
        <is>
          <t>Time</t>
        </is>
      </c>
    </row>
    <row r="6">
      <c r="A6" s="11" t="inlineStr">
        <is>
          <t>1</t>
        </is>
      </c>
      <c r="B6" s="11" t="inlineStr">
        <is>
          <t>30 to 60 minutes including reboot</t>
        </is>
      </c>
    </row>
    <row r="7">
      <c r="A7" s="11" t="inlineStr">
        <is>
          <t>2</t>
        </is>
      </c>
      <c r="B7" s="11" t="inlineStr">
        <is>
          <t>30 to 60 minutes</t>
        </is>
      </c>
    </row>
    <row r="8">
      <c r="A8" s="11" t="inlineStr">
        <is>
          <t>3</t>
        </is>
      </c>
      <c r="B8" s="11" t="inlineStr">
        <is>
          <t>Download-bound: ~2.5 hours at the 400 Mbps planning figure for ~448 GB (S56, B-27; about 30 minutes at the 2,000 Mbps line rate with parallel downloads, ATLAS_PULL_JOBS above 1; v0.4.0 planned ~10 hours at 100 Mbps over Wi-Fi, v0.3.5 ~15 hours for ~690 GB); plus the load, parity and quality tests, longer than v0.3.5's ~30 minutes now that each large seat takes about a minute to load and decodes at 7 to 14 tok/s (INFERRED; Phase 3 records the times)</t>
        </is>
      </c>
    </row>
    <row r="9">
      <c r="A9" s="11" t="inlineStr">
        <is>
          <t>4</t>
        </is>
      </c>
      <c r="B9" s="11" t="inlineStr">
        <is>
          <t>Download and build-bound: several hours; can run overnight</t>
        </is>
      </c>
    </row>
    <row r="11">
      <c r="A11" s="3" t="inlineStr">
        <is>
          <t>Phase steps</t>
        </is>
      </c>
    </row>
    <row r="12">
      <c r="A12" s="10" t="inlineStr">
        <is>
          <t>Phase</t>
        </is>
      </c>
      <c r="B12" s="10" t="inlineStr">
        <is>
          <t>Step</t>
        </is>
      </c>
    </row>
    <row r="13">
      <c r="A13" s="11" t="inlineStr">
        <is>
          <t>Phase 1</t>
        </is>
      </c>
      <c r="B13" s="11" t="inlineStr">
        <is>
          <t>1. Pre-flight, using only what a bare host has (one exception since v0.3.4, below): confirm Ubuntu Server 26.04.1, kernel 7.0, both NVMe drives present, fTPM enabled (V2), and the GPU present and identified from lspci and /sys/class/drm. The rocminfo confirmation of gfx1151 belongs to the Phase 4 container self-test (V11), because ROCm is never installed on the host (3.4). *v0.3.4: the one package step 1 fetches is systemd's TPM2 library set (libtss2-rc0t64, which the server image lacks, and esys/mu/tcti-device when a minimized install lacks those too), from the Ubuntu archive before the proxy and firewall exist; exactly one TPM is required, since tpm2-device=auto refuses two (S42). Every package install through the scripts' installer and every package-list update first waits, up to 15 minutes, for apt-daily/unattended-upgrades to finish; the remaining apt calls wait on the dpkg lock for 5 minutes. S56 (B-27, 2026-10-17): step 1 also notes the LAN interface, its driver, PCI ids and MAC, and what must point at that MAC (the cable on the 10 GbE port not marked DASH, the DHCP reservation, the UDP 51820 forward, Wi-Fi off the LAN subnet); it warns, never stops, on a Wi-Fi LAN interface, on the controller the driver treats as the DASH part, and on a second interface with an address on the LAN subnet (phase1/01-preflight.sh phase1_lan_link_note).*</t>
        </is>
      </c>
    </row>
    <row r="14">
      <c r="A14" s="11" t="inlineStr">
        <is>
          <t>Phase 1</t>
        </is>
      </c>
      <c r="B14" s="11" t="inlineStr">
        <is>
          <t>2. LUKS2 on the data volume, TPM2 enrolment, recovery key printed once for off-node storage (D3).</t>
        </is>
      </c>
    </row>
    <row r="15">
      <c r="A15" s="11" t="inlineStr">
        <is>
          <t>Phase 1</t>
        </is>
      </c>
      <c r="B15" s="11" t="inlineStr">
        <is>
          <t>3. Mount layout per Section 3.5; swap off; tmpfs for /tmp, capped at 4 GiB by a tmp.mount drop-in from the next boot (*S55, 2026-10-17;* it was 16 GiB).</t>
        </is>
      </c>
    </row>
    <row r="16">
      <c r="A16" s="11" t="inlineStr">
        <is>
          <t>Phase 1</t>
        </is>
      </c>
      <c r="B16" s="11" t="inlineStr">
        <is>
          <t>4. System update; kernel parameters (V3); firewall baseline; SSH hardening; Cockpit. *v0.3.4: tpm2-tools is installed before the update and every initramfs is rebuilt with TPM2 support before the reboot (S32); time sync is proven through the closed firewall (S35). v0.3.5: before the update the node is held on the GA 7.0 kernel line; HWE metapackages over the same 7.0 image are swapped for linux-generic after a clean apt simulation, anything else (an OEM kernel, an image outside 7.0, a kernel metapackage held with apt-mark) becomes the to-do kernel-line (S45). v0.3.5, option (c) of 2026-10-10 (S48): kdump is switched off without removing the package (debconf answer false and USE_KDUMP=0, kdump-tools.service disabled and masked, a loaded crash kernel unloaded), and /etc/default/grub.d/zzz-atlas-crash.cfg removes every crashkernel= and panic= from the kernel line and appends panic=10; after update-grub the step stops if grub.cfg still carries crashkernel= or its first kernel line (the default entry) does not carry exactly one panic=10. v0.3.5, 2026-10-10 (S49): the same drop-in also removes every kho= and appends kho=off after panic=10, the step stops unless that first kernel line carries exactly one kho= word and it is kho=off, and its log records the kexec handover scratch the running kernel holds (on the first run that boot still carries the crash-kernel reservation, which adds about 8.5 GiB to the scratch, S49). v0.3.5, 2026-10-11 (S50): last before the reboot, the step finds the hardware watchdog without starting it: it loads sp5100_tco by name, since Ubuntu blacklists every watchdog module, and does not take a zero exit status as proof (only /sys/class/watchdog counts, where a device named exactly SP5100 TCO timer and bound to the sp5100-tco driver must appear); otherwise it unloads the module, tries wdat_wdt only when ACPI has a WDAT table, and with neither chooses softdog soft_panic=1 for the next boot (not loaded now) and raises the to-do watchdog, which a later run that finds a hardware watchdog closes. It never opens /dev/watchdog*. It then writes /etc/systemd/system/atlas-watchdog-driver.service (a plain modprobe of the chosen driver before sysinit.target at every boot), enabled without reloading systemd, and /etc/systemd/system.conf.d/90-atlas-watchdog.conf (RuntimeWatchdogSec=2min, RebootWatchdogSec=10min), both rewritten whole on every run, and logs what it found (the SMBus controller's PCI ids, whether ACPI has a WDAT table, and the device's state, timeout and boot status, or the driver's kernel lines when it made no device). systemd arms the watchdog from the reboot on. A missing hardware watchdog never stops the step; a unit that cannot be enabled does.*</t>
        </is>
      </c>
    </row>
    <row r="17">
      <c r="A17" s="11" t="inlineStr">
        <is>
          <t>Phase 1</t>
        </is>
      </c>
      <c r="B17" s="11" t="inlineStr">
        <is>
          <t>5. Reboot. Post-reboot: vulkaninfo shows the Radeon 8065S, and the GTT pool read from /sys/class/drm matches the kernel parameters (V3, first half). The llama-cli --list-devices check (llama.cpp's Vulkan backend lists the GPU as Vulkan0 with at least 160000 MiB, about 156 GiB, of device memory, or the largest Day 1 seat's projected footprint if that is larger (v0.4.0, D-36 option (c)); the figure is recorded and is not the engine budget) moves to the Phase 2 gate, since llama.cpp is installed in Phase 2 (V3, second half). *v0.3.5: V3a also proves the crash settings of S48: no crashkernel= on the booted command line and no crash-kernel memory reserved, exactly one panic=10, kernel.panic 10 and kernel.panic_on_oops 0. Since S49 it also fails unless the booted command line carries exactly one kho= word, the literal kho=off, and on any CMA memory: kexec handover scratch still set aside (the zone cma pages of /proc/zoneinfo less CmaTotal, which never counts the scratch) or a named CMA area (CmaTotal above 0). Three read-only records follow: the kernel line (the to-do kernel-line closes once it is GA 7.0, and is raised again with the state after the reboot otherwise, S45), what the unused NPU shows (PCI revision, driver, /dev/accel; 3.7 W-NPU), and whether a kernel panic's log can be kept across the restart (the pstore backend, systemd-pstore.service, archived records and kdump's state; S48), which warns but never stops. v0.3.5, 2026-10-11 (S50): right after V3a, V24 proves that systemd has armed the watchdog step 4 installed, with both timeouts in effect, pings it and is the only holder of the device; a hardware watchdog passes, the softdog fallback is recorded deferred (to-do watchdog), and anything else, no watchdog device at all included, is a fail that stops the step as V3a does. Last, step 5 raises the to-do w-drill, the crash and watchdog tests the live ATLAS runs later with the Principal present (3.7 W-DRILL).*</t>
        </is>
      </c>
    </row>
    <row r="18">
      <c r="A18" s="11" t="inlineStr">
        <is>
          <t>Phase 1</t>
        </is>
      </c>
      <c r="B18" s="11" t="inlineStr">
        <is>
          <t>5b. XFCE and xrdp installed, bound to LAN and WireGuard only; Google Chrome in the desktop session (v0.3.3); one RDP connection tested from the Principal's Windows PC (V19; no connection within 10 minutes is deferred with a to-do, not failed).</t>
        </is>
      </c>
    </row>
    <row r="19">
      <c r="A19" s="11" t="inlineStr">
        <is>
          <t>Phase 1</t>
        </is>
      </c>
      <c r="B19" s="11" t="inlineStr">
        <is>
          <t>6. Docker with GPU device passthrough; service account in render and video.</t>
        </is>
      </c>
    </row>
    <row r="20">
      <c r="A20" s="11" t="inlineStr">
        <is>
          <t>Phase 1</t>
        </is>
      </c>
      <c r="B20" s="11" t="inlineStr">
        <is>
          <t>7. WG-Easy, Cloudflare dynamic DNS with the relocated scoped token (R7), ntfy.</t>
        </is>
      </c>
    </row>
    <row r="21">
      <c r="A21" s="11" t="inlineStr">
        <is>
          <t>Phase 1</t>
        </is>
      </c>
      <c r="B21" s="11" t="inlineStr">
        <is>
          <t>8. Gate: table of V2, V3 first half, V5, V19 and V24 results. Phase 2 does not start on a red row. V1 is recorded as informational only; since S56 it records the cable's driver and link speed and warns below 2,500 Mb/s (B-27). *v0.3.5 (S50): V24 is required; its deferred row (the softdog fallback, to-do watchdog) never blocks, like every deferred row.*</t>
        </is>
      </c>
    </row>
    <row r="22">
      <c r="A22" s="11" t="inlineStr">
        <is>
          <t>Phase 2</t>
        </is>
      </c>
      <c r="B22" s="11" t="inlineStr">
        <is>
          <t>1. llama-server, Vulkan build. *v0.4.0 (S-01, S-02, S-37; D-01 option (c), approved by the Principal on 2026-10-16 in the returned action register):* built from the pinned build tag b11474 (3.4), with llama-perplexity among the installed binaries; beside it, v0.4.1's llama-perplexity alone, from a git worktree into /opt/atlas/llama-parity, for the Phase 3 parity test V25 only. Up to 20 engine slots (ports 8101 to 8120); the Day 1 set is seven units (S-33). The optional ROCm container for tuned prefill is phased after Day 1 (3.4, D-52 option (b)).</t>
        </is>
      </c>
    </row>
    <row r="23">
      <c r="A23" s="11" t="inlineStr">
        <is>
          <t>Phase 2</t>
        </is>
      </c>
      <c r="B23" s="11" t="inlineStr">
        <is>
          <t>2. Redis, Celery workers (cpu, gpu queues), orchestrator scaffold with the Engine Arbiter, router, approval queue, task ledger. *v0.4.0 (D-32 option (a)):* ATLAS_ARBITER_MAX_RESIDENT=1 is seeded once into orchestrator.env, so a value the Principal sets survives a re-run (4.2 rule 3). *S55 (2026-10-17):* the Celery cpu worker's concurrency is min(8, nproc − 2), at least 1 (CELERY_CPU_CONCURRENCY in orchestrator.env), and the units carry the out-of-memory order (OOMScoreAdjust 500 on the Celery cpu worker, -500 on the orchestrator and on llama-server@).</t>
        </is>
      </c>
    </row>
    <row r="24">
      <c r="A24" s="11" t="inlineStr">
        <is>
          <t>Phase 2</t>
        </is>
      </c>
      <c r="B24" s="11" t="inlineStr">
        <is>
          <t>3. Open WebUI with offline hardening (12.1); A.T.L.A.S., Ren, Arthur registered as models; the router Filter installed.</t>
        </is>
      </c>
    </row>
    <row r="25">
      <c r="A25" s="11" t="inlineStr">
        <is>
          <t>Phase 2</t>
        </is>
      </c>
      <c r="B25" s="11" t="inlineStr">
        <is>
          <t>4. ChromaDB, LightRAG graph store (D7), and the three resident small models, named in D16 since v0.4.0 (reopening D4): the Qwen3.5-4B router on the iGPU, and Qwen3-Embedding-4B and Qwen3-Reranker-4B on the CPU (--device none; D-14 option (e), D-45 option (a)). All are small and belong in this no-large-downloads phase, and the new embedder is in place before the first document, so the empty corpus is indexed with it from the start (10.1). The step keeps the 1024-dim schema by truncating and re-normalising each vector, seeds the query instruction once into memory.env, checks that the embedder returns at least 1,024 dimensions and different vectors for a query and a passage and that the reranker ranks, and stops on a collection another embedder wrote. Docling ingestion service, under an 8 GiB cap and first in the out-of-memory order with the Celery cpu worker (S55). The OCR companion is phased (5.3, C-04).</t>
        </is>
      </c>
    </row>
    <row r="26">
      <c r="A26" s="11" t="inlineStr">
        <is>
          <t>Phase 2</t>
        </is>
      </c>
      <c r="B26" s="11" t="inlineStr">
        <is>
          <t>5. Kokoro, Chatterbox (0.1.7), Whisper Large-v3-Turbo, pyannote speaker-diarization-community-1 (V6; v0.4.0, C-06: it replaces 3.1, which V6 probes only as a diagnostic when community-1 is refused). The other new speech candidates are phased (14.1). *S55:* Kokoro and speaches run under cgroup caps of 3 and 4 GiB.</t>
        </is>
      </c>
    </row>
    <row r="27">
      <c r="A27" s="11" t="inlineStr">
        <is>
          <t>Phase 2</t>
        </is>
      </c>
      <c r="B27" s="11" t="inlineStr">
        <is>
          <t>6. Phase 2 tools (15.1): IfcOpenShell, Bonsai, MCP4IFC, Radiance, OpenStudio/EnergyPlus, KiCad CLI, Playwright, the cross-platform build container (Android and Windows targets only).</t>
        </is>
      </c>
    </row>
    <row r="28">
      <c r="A28" s="11" t="inlineStr">
        <is>
          <t>Phase 2</t>
        </is>
      </c>
      <c r="B28" s="11" t="inlineStr">
        <is>
          <t>6b. Relocate the Cloudflare token automatically: scoped token into a mode-600 environment file owned by the updater service, outside /srv/atlas and outside restic's include set, then delete CLOUDFLARE.txt (R7, D-closed).</t>
        </is>
      </c>
    </row>
    <row r="29">
      <c r="A29" s="11" t="inlineStr">
        <is>
          <t>Phase 2</t>
        </is>
      </c>
      <c r="B29" s="11" t="inlineStr">
        <is>
          <t>6c. Google OAuth pause: the script prints one authorisation link per account, waits for the Principal to approve in a browser, then continues. Two accounts, roughly five minutes total (V20).</t>
        </is>
      </c>
    </row>
    <row r="30">
      <c r="A30" s="11" t="inlineStr">
        <is>
          <t>Phase 2</t>
        </is>
      </c>
      <c r="B30" s="11" t="inlineStr">
        <is>
          <t>6d. AEGIS sandbox image (Section 16.4): built and proved by killing a runaway process under the memory cap (V17). *Added in v0.3.2; the build showed Section 17 had no home for V17.*</t>
        </is>
      </c>
    </row>
    <row r="31">
      <c r="A31" s="11" t="inlineStr">
        <is>
          <t>Phase 2</t>
        </is>
      </c>
      <c r="B31" s="11" t="inlineStr">
        <is>
          <t>7. restic repository on the second drive; nightly timer; first backup; first restore test.</t>
        </is>
      </c>
    </row>
    <row r="32">
      <c r="A32" s="11" t="inlineStr">
        <is>
          <t>Phase 2</t>
        </is>
      </c>
      <c r="B32" s="11" t="inlineStr">
        <is>
          <t>8. Sentinel timer, enabled with the feeds closed under D6: CoinDesk, an ASX and US index feed, RSS news, node telemetry. Pruning timer.</t>
        </is>
      </c>
    </row>
    <row r="33">
      <c r="A33" s="11" t="inlineStr">
        <is>
          <t>Phase 2</t>
        </is>
      </c>
      <c r="B33" s="11" t="inlineStr">
        <is>
          <t>9. Windows PC share mount unit, on-demand. *Skipped on Day 1 (v0.3.3, Section 12.4): runs when WINDOWS_SHARE and the credential file exist.*</t>
        </is>
      </c>
    </row>
    <row r="34">
      <c r="A34" s="11" t="inlineStr">
        <is>
          <t>Phase 2</t>
        </is>
      </c>
      <c r="B34" s="11" t="inlineStr">
        <is>
          <t>9b. Vault (Section 11): gocryptfs initialised with a passphrase the Principal types once, the open/lock/idle mechanics proved, and the memory rule proved (V18). *Added in v0.3.2.*</t>
        </is>
      </c>
    </row>
    <row r="35">
      <c r="A35" s="11" t="inlineStr">
        <is>
          <t>Phase 2</t>
        </is>
      </c>
      <c r="B35" s="11" t="inlineStr">
        <is>
          <t>10. Gate: every service healthy; V3 second half (llama-cli --list-devices lists Vulkan0 with at least the larger of 160000 MiB and the largest Day 1 seat with its context memory, as the Arbiter projects it; v0.4.0, D-36 option (c)), V6, V7 (listening test, deferred if the reference recordings do not exist yet), V12, V13, V14 first half, V15, V16, V17, V18, V20, V23 recorded, plus V10's resident-router half (V10a; since S56 it also times 128 tokens and fails below the router's 20 tok/s floor, which stops step 4, D-33; below its review line it raises the to-do decode-review-router, never a fail). The Arbiter's refusal logic is unit-tested here against stub footprints; the real-engine tests are V14b and V21 in Phase 3 (v0.4.0: V21 proves single residency, S-24). Tool installs whose inputs could not be verified in advance (Bonsai, Blender, OpenStudio/EnergyPlus, MCP4IFC, the build container) record a deferred T-&lt;tool&gt; row and never block the gate; --force 06 re-runs them.</t>
        </is>
      </c>
    </row>
    <row r="36">
      <c r="A36" s="11" t="inlineStr">
        <is>
          <t>Phase 3</t>
        </is>
      </c>
      <c r="B36" s="11" t="inlineStr">
        <is>
          <t>1. Pull, with checksum verification, at the quantisations fixed in Section 5.1. *v0.4.0 (S-34; D-42 option (b), approved by the Principal on 2026-10-16 in the returned action register):* the four LLM repositories of engines.json: gpt-oss-120b (F16 trunk, native MXFP4 experts), gpt-oss-120b abliterated (MXFP4, unchanged), GLM-5.3-Flash (UD-IQ4_XS, with the mmproj-F16.gguf from the repository root) and DeepSeek-V4-Flash-0731 (UD-Q8_K_XL). About 448 GB, where v0.3.5 pulled about 690 GB. No file is joined any more, so the free-space check is the download plus 5%. The phased engines come in a post-Day-1 pull with the same checksum and load tests (5.1). *S56 (B-27):* every pin of an engine is checked before any of its bytes move; ATLAS_PULL_JOBS (1 on Day 1, so this pull is unchanged; 4 for the phased pull after a short test) sets how many files download at once, each with its own .part, resume, size check and sha256; the hash tool is the fastest of openssl, gnusha256sum and sha256sum, timed once per run.</t>
        </is>
      </c>
    </row>
    <row r="37">
      <c r="A37" s="11" t="inlineStr">
        <is>
          <t>Phase 3</t>
        </is>
      </c>
      <c r="B37" s="11" t="inlineStr">
        <is>
          <t>2. For each LLM seat, in turn: load through the Engine Arbiter; confirm the KV cache type actually applied (V4: GLM-5.3-Flash prints two lines, its attention and indexer caches, and both must show the type); measure decode and prefill at 512 and 8k tokens; measure swap time; unload; confirm memory returned. *v0.4.0 (S-25, S-26, S-42; D-29 option (a), D-33 option (c)):* decode is recorded beside the seat's projection (V10) and fails only below a floor the Principal sets. *S56 (D-33, D-47, approved 2026-10-17):* the floors are set at 8k. Decode is judged on the slower of the 512 and 8k points, each counted only with 64 or more generated tokens (every timing request but the first at 512 asks for all 128 tokens with ignore_eos; a short answer is re-measured once), and fails V10 below gpt-oss-120b 25, GLM-5.3-Flash 6 or DeepSeek-V4-Flash-0731 4 tok/s; the 8k prefill fails below 200, 40 or 40. Placement checks fail a load whose log shows fewer layers offloaded than the model has, or whose GTT delta is under 0.85 × its weights' bytes, and record the model buffer and graph-splits lines; a line not found is UNKNOWN, never a fail. A seat at or above its floor but under 70% of its projection's low end raises the to-do decode-review, never a fail. A fail on GLM or the Apex defers that seat through its V22 row, and its seats move to their recorded fallbacks by the Principal's decision (6.2, R19); decode-floors is raised only for a seat with no floor. DeepSeek-V4-Flash-0731 loads f16 first at its own 1 × 131,072 profile and keeps it if it loads, proves its KV lines and answers the coherence prompt; q8_0 is tried only if f16 fails, and q4_0 never. The Apex and every engine newer than v0.4.1 (GLM-5.3-Flash) have their own V22 row, and a failure there is deferred without blocking the phase (R19). GLM-5.3-Flash is measured at its 8 × 32k profile with its projector loaded. *v0.3.5 (S52): each load (each rung of the DeepSeek ladder that loaded) also keeps a record, never a verdict, of what that load's own log says: its context memory (the K/V cache, the recurrent state of the hybrids and DeepSeek's compressor state) beside the Arbiter's projection for the same profile, its compute buffers and slot window, whether llama-server switched context shift off, and the prompt-cache and checkpoint lines; and of its host RAM, read-only from the unit's main process, after the load and after the tests. A line not found is UNKNOWN, nothing in the record fails anything, and the record itself changes no engine setting. The size lines, like V4's proof line, are logged only because every chat engine runs at llama-server verbosity 4 (--verbosity 4, rendered into each unit by phase2/engine-env.py; the pinned build drops them at the default 3). v0.4.0: the records read the same lines at b11474, and the projection now includes the per-slot state and the compute buffer (4.2 rule 2).*</t>
        </is>
      </c>
    </row>
    <row r="38">
      <c r="A38" s="11" t="inlineStr">
        <is>
          <t>Phase 3</t>
        </is>
      </c>
      <c r="B38" s="11" t="inlineStr">
        <is>
          <t>2b. *New in v0.4.0 (S-02, V25):* output parity between the pin b11474 and the old pin v0.4.1, on the chat engines both builds load (gpt-oss-120b, DeepSeek-V4-Flash-0731 and the router). With every LLM seat unloaded through the Arbiter and generation idle, the old build's llama-perplexity writes base logits for a fixed corpus (16 × 512 tokens from the domain profiles), the new build scores them with --kl-divergence, and both run the 24-task deterministic set phase3/parity-tasks.txt. Flash attention on gives the verdict; off is recorded. The thresholds, confirmed by the Principal on 2026-10-17 (S55): a mean KLD of at most 0.01, the same top token at least 98% of the time, and no fewer tasks correct. GLM-5.3-Flash (the old pin cannot load it) and the embedder and reranker (no next-token logits) are listed as not covered, and a file the old build cannot load records deferred. Memory is polled back after every run; the results go to parity.json.</t>
        </is>
      </c>
    </row>
    <row r="39">
      <c r="A39" s="11" t="inlineStr">
        <is>
          <t>Phase 3</t>
        </is>
      </c>
      <c r="B39" s="11" t="inlineStr">
        <is>
          <t>2c. *New in v0.4.0 (S-03):* a quality record per LLM seat on the pin, the unchanged abliterated entry excepted: the corpus perplexity and the task score at the seat's own KV type, written to quality.json and raised as the to-do kld-run with each seat's reference status. It is never a verdict. The reference-based KLD run (T-03) needs reference files that Day 1 does not pull: DeepSeek-V4-Flash-0731's UD-Q8_K_XL is bit-exact by construction, and GLM-5.3-Flash's Q8_0 reference (317 GiB) exceeds memory, so its check is a task delta against published full-precision scores.</t>
        </is>
      </c>
    </row>
    <row r="40">
      <c r="A40" s="11" t="inlineStr">
        <is>
          <t>Phase 3</t>
        </is>
      </c>
      <c r="B40" s="11" t="inlineStr">
        <is>
          <t>3. *v0.4.0 (S-24; D-32 option (a)):* single-residency test, replacing v0.3.5's two-residency test (gpt-oss-120b beside Qwen2.5-VL-72B at about 142 GB, which went with D-32 (a) and S-22). gpt-oss-120b is loaded through the Arbiter, then GLM-5.3-Flash, and the Arbiter must evict the first: its unit stopped, the ledger holding GLM alone, and the GTT delta GLM's alone, capped at the live budget. Two generation requests through the orchestrator must queue, the second starting only after the first finishes (V21). Slot save and restore across the swap is phased (4.4, T-13) and recorded as not tested. Then, with nothing resident, the Arbiter's refusal of an over-budget load and its Deep Think downgrade against the real engine set (V14b). A rule-5 leak in the cleanup fails V21 and stops the phase. The results go to residency.json.</t>
        </is>
      </c>
    </row>
    <row r="41">
      <c r="A41" s="11" t="inlineStr">
        <is>
          <t>Phase 3</t>
        </is>
      </c>
      <c r="B41" s="11" t="inlineStr">
        <is>
          <t>4. Gate: printed table of load success, KV type, tok/s, swap seconds per engine. This is the day-one load test the whole design depends on (V10). *v0.4.0 (S-26; D-33 option (c)):* the residency, parity and quality summaries print with it, and the gate is gate phase3 V4 V10 V14b V21 V25 -- V22: V25 is required, and V22, with its own row for the Apex and for GLM-5.3-Flash, whose llama.cpp support is newer than the rest, is recorded and never blocks the phase (R19). *v0.3.5 (S52): before the table, the records of step 2, plus the resident router's current log and host RAM (read-only), become two to-dos for the Principal: kv-estimates (each engine's measured context memory against the Arbiter's estimate, and whether to correct the estimates) and cache-ram (each server's host RAM, what its log says of the prompt cache and the checkpoints against the cap its env file renders since S55, and suggested --cache-ram and --ctx-checkpoints values, INFERRED: whether to change a cap, which goes in engines.json cache_ram_mib, or set --ctx-checkpoints). Both are always raised, with UNKNOWN where a figure is missing, and neither affects the gate.*</t>
        </is>
      </c>
    </row>
    <row r="42">
      <c r="A42" s="11" t="inlineStr">
        <is>
          <t>Phase 4</t>
        </is>
      </c>
      <c r="B42" s="11" t="inlineStr">
        <is>
          <t>1. Inside the base ROCm container, confirm rocminfo reports gfx1151, then self-test AMD's gfx1151 PyTorch wheels (pinned ROCm 10.0.0 / torch 2.13.0 / torchvision 0.28.0 / torchaudio 2.11.0.2): tensor on GPU, matmul, a small diffusion step, and, since S51, torchaudio is exactly the pinned build (V11; whether it imports is recorded, and a failed import fails only the two engines that use it). This is the first and only place ROCm runs.</t>
        </is>
      </c>
    </row>
    <row r="43">
      <c r="A43" s="11" t="inlineStr">
        <is>
          <t>Phase 4</t>
        </is>
      </c>
      <c r="B43" s="11" t="inlineStr">
        <is>
          <t>2. Build green engines in order of value: FLUX.1-dev, Wan2.2, Florence-2, Chronos, UI-TARS-1.5-7B, Rad-DINO, SAM 2 with the extension flag, Stable Audio Open, CosyVoice2, OpenVLA (corrected in v0.4.0, B-11: TimesFM and UI-TARS 2.0 were dropped in v0.3.1, 15.2). The vision engine is not here: it is GLM-5.3-Flash with its glm5v projector, a GGUF engine pulled in Phase 3. *v0.4.0 (S-37, S-46; D-50 option (a)):* the step first unloads every resident LLM seat through the Arbiter, so each engine is tested alone (4.2); the image tier's Z-Image-Turbo and Qwen-Image-2512 join this list after Day 1, and the OCR companion is a llama-server unit, not a Phase 4 engine (15.2, 5.3).</t>
        </is>
      </c>
    </row>
    <row r="44">
      <c r="A44" s="11" t="inlineStr">
        <is>
          <t>Phase 4</t>
        </is>
      </c>
      <c r="B44" s="11" t="inlineStr">
        <is>
          <t>3. Attempt yellow engines: TRELLIS, Blender Cycles HIP with CPU fallback. Log pass or fail, never block.</t>
        </is>
      </c>
    </row>
    <row r="45">
      <c r="A45" s="11" t="inlineStr">
        <is>
          <t>Phase 4</t>
        </is>
      </c>
      <c r="B45" s="11" t="inlineStr">
        <is>
          <t>4. Verify PointLLM (V8) and Clay or Prithvi (V9); mark deferred if they fail.</t>
        </is>
      </c>
    </row>
    <row r="46">
      <c r="A46" s="11" t="inlineStr">
        <is>
          <t>Phase 4</t>
        </is>
      </c>
      <c r="B46" s="11" t="inlineStr">
        <is>
          <t>5. Register every passing engine with the Engine Arbiter with its measured footprint.</t>
        </is>
      </c>
    </row>
    <row r="47">
      <c r="A47" s="11" t="inlineStr">
        <is>
          <t>Phase 4</t>
        </is>
      </c>
      <c r="B47" s="11" t="inlineStr">
        <is>
          <t>6. Gate: per-engine table: built, loaded, sample output produced, footprint, pass/fail/deferred.</t>
        </is>
      </c>
    </row>
    <row r="49">
      <c r="A49" s="3" t="inlineStr">
        <is>
          <t>Phase 3 test plan: every test in the action register (v0.4.0)</t>
        </is>
      </c>
    </row>
    <row r="50">
      <c r="A50" s="10" t="inlineStr">
        <is>
          <t>Test</t>
        </is>
      </c>
      <c r="B50" s="10" t="inlineStr">
        <is>
          <t>Settles</t>
        </is>
      </c>
      <c r="C50" s="10" t="inlineStr">
        <is>
          <t>Day 1</t>
        </is>
      </c>
      <c r="D50" s="10" t="inlineStr">
        <is>
          <t>How and when</t>
        </is>
      </c>
    </row>
    <row r="51">
      <c r="A51" s="11" t="inlineStr">
        <is>
          <t>T-01: the GTT pool and Vulkan device memory on kernel 7.0</t>
        </is>
      </c>
      <c r="B51" s="11" t="inlineStr">
        <is>
          <t>D-36; every rung above about 149 GiB</t>
        </is>
      </c>
      <c r="C51" s="11" t="inlineStr">
        <is>
          <t>Day 1 scripted</t>
        </is>
      </c>
      <c r="D51" s="11" t="inlineStr">
        <is>
          <t>V3a (Phase 1 step 5) and V3b (Phase 2 gate), with V3b's floor raised to the largest Day 1 seat with its context memory (D-36 (c)); the measured heap decides every rung above about 149 GiB (B-31)</t>
        </is>
      </c>
    </row>
    <row r="52">
      <c r="A52" s="11" t="inlineStr">
        <is>
          <t>T-02: output parity between the two pins</t>
        </is>
      </c>
      <c r="B52" s="11" t="inlineStr">
        <is>
          <t>D-01; the -fa setting; GLM's --kv-unified coherence (D-48)</t>
        </is>
      </c>
      <c r="C52" s="11" t="inlineStr">
        <is>
          <t>Day 1 scripted, in part; the rest after Day 1</t>
        </is>
      </c>
      <c r="D52" s="11" t="inlineStr">
        <is>
          <t>Phase 3 step 2b (V25) on gpt-oss-120b, DeepSeek-V4-Flash-0731 and the router. GLM-5.3-Flash cannot load on the old pin; the phased engines are compared at their own pull (Qwen3-Coder-Next no longer among them, D-19 (c), S56)</t>
        </is>
      </c>
    </row>
    <row r="53">
      <c r="A53" s="11" t="inlineStr">
        <is>
          <t>T-03: the KLD run against a reference</t>
        </is>
      </c>
      <c r="B53" s="11" t="inlineStr">
        <is>
          <t>D-02, D-11, D-16, D-19, D-28, D-29</t>
        </is>
      </c>
      <c r="C53" s="11" t="inlineStr">
        <is>
          <t>Day 1 scripted (the record); after Day 1 (the reference run, the coding set and the D-16 gate)</t>
        </is>
      </c>
      <c r="D53" s="11" t="inlineStr">
        <is>
          <t>Phase 3 step 2c records each seat's perplexity and task score and raises kld-run; the reference files are not pulled on Day 1 (step 2c). *S56:* D-19 (c) adds 20 to 30 of the Principal's own coding tasks, run on GLM-5.3-Flash UD-IQ4_XS and DeepSeek-V4-Flash-0731 UD-Q8_K_XL at each seat's real slot profile and reasoning setting, recording pass rate and wall-clock per task; the result decides which seat codes (the tasks are a to-do, Section 22). D-16 adds the q8_0 cache gate of the phased Intern-S1 and Baichuan-M3 at their pull: llama-perplexity --kl-divergence at -c 4096 -b 512 on a medical and scientific corpus, and a long-context A/B test through llama-server at 1 × 16,384, f16 against q8_0; q8_0 is accepted at a mean KLD of about 0.005 or less, the same top token about 98% of the time or more, and no more than about 1 in 50 long answers changed</t>
        </is>
      </c>
    </row>
    <row r="54">
      <c r="A54" s="11" t="inlineStr">
        <is>
          <t>T-04: GLM-5.3-Flash on Vulkan at the pin</t>
        </is>
      </c>
      <c r="B54" s="11" t="inlineStr">
        <is>
          <t>D-02's conditions; D-48; GLM's cache type (D-29)</t>
        </is>
      </c>
      <c r="C54" s="11" t="inlineStr">
        <is>
          <t>Day 1 scripted, in part; the rest after Day 1</t>
        </is>
      </c>
      <c r="D54" s="11" t="inlineStr">
        <is>
          <t>Phase 3 step 2 loads it with flash attention on and an f16 cache, proves both KV lines (V4), measures decode and prefill at 512 and 8k, and records its V22 row. Whether its hyper-connection operation runs on the GPU, multi-slot coherence under --kv-unified and decode at 32k and 128k follow after Day 1, with D-48</t>
        </is>
      </c>
    </row>
    <row r="55">
      <c r="A55" s="11" t="inlineStr">
        <is>
          <t>T-05: every Day 1 engine against the Arbiter's projections</t>
        </is>
      </c>
      <c r="B55" s="11" t="inlineStr">
        <is>
          <t>D-10, D-29, D-31, D-33, D-48</t>
        </is>
      </c>
      <c r="C55" s="11" t="inlineStr">
        <is>
          <t>Day 1 scripted</t>
        </is>
      </c>
      <c r="D55" s="11" t="inlineStr">
        <is>
          <t>Phase 3 steps 2 and 4: V4, V10 beside the projections, and the kv-estimates and cache-ram records</t>
        </is>
      </c>
    </row>
    <row r="56">
      <c r="A56" s="11" t="inlineStr">
        <is>
          <t>T-06: DeepSeek-V4-Flash-0731 on mainline Vulkan</t>
        </is>
      </c>
      <c r="B56" s="11" t="inlineStr">
        <is>
          <t>D-11, D-29, D-33, D-47, D-61</t>
        </is>
      </c>
      <c r="C56" s="11" t="inlineStr">
        <is>
          <t>Day 1 scripted, in part; the rest after Day 1</t>
        </is>
      </c>
      <c r="D56" s="11" t="inlineStr">
        <is>
          <t>Phase 3 step 2: UD-Q8_K_XL on the f16-first ladder, its V22 row, and V10 judged at 8k with DSpark off against the 4 tok/s floor, beside the 6.8 to 7.2 tok/s projection and the review line (4.8 tok/s, 70% of 6.8; S56, D-47). UD-Q4_K_XL is pulled only if the relief order of 4.1 reaches it, or if Q8 decodes below 4 with clean placement lines. After Day 1: decode at 8k, 16k and 32k beside the floor and the review line, for the Principal's choice between the two rungs, and DSpark at both rungs as a record, at temperatures 0, 0.15, 0.6 and 1.0 (15.5); production DSpark only at a lower rung (D-61)</t>
        </is>
      </c>
    </row>
    <row r="57">
      <c r="A57" s="11" t="inlineStr">
        <is>
          <t>T-07: Qwen3.8-Flash-Next decode</t>
        </is>
      </c>
      <c r="B57" s="11" t="inlineStr">
        <is>
          <t>Its role as challenger and third opinion; D-28</t>
        </is>
      </c>
      <c r="C57" s="11" t="inlineStr">
        <is>
          <t>After Day 1</t>
        </is>
      </c>
      <c r="D57" s="11" t="inlineStr">
        <is>
          <t>At its post-Day-1 pull (5.1)</t>
        </is>
      </c>
    </row>
    <row r="58">
      <c r="A58" s="11" t="inlineStr">
        <is>
          <t>T-08: the ggml-org Qwen3.8-Flash-Next Q8_0 KLD</t>
        </is>
      </c>
      <c r="B58" s="11" t="inlineStr">
        <is>
          <t>D-28</t>
        </is>
      </c>
      <c r="C58" s="11" t="inlineStr">
        <is>
          <t>After Day 1</t>
        </is>
      </c>
      <c r="D58" s="11" t="inlineStr">
        <is>
          <t>Folded into T-03, before any Flash-Next pull</t>
        </is>
      </c>
    </row>
    <row r="59">
      <c r="A59" s="11" t="inlineStr">
        <is>
          <t>T-09 and T-10</t>
        </is>
      </c>
      <c r="B59" s="11" t="inlineStr">
        <is>
          <t>D-07, D-08, D-09, D-58</t>
        </is>
      </c>
      <c r="C59" s="11" t="inlineStr">
        <is>
          <t>After Day 1</t>
        </is>
      </c>
      <c r="D59" s="11" t="inlineStr">
        <is>
          <t>With the items they settle (Section 19)</t>
        </is>
      </c>
    </row>
    <row r="60">
      <c r="A60" s="11" t="inlineStr">
        <is>
          <t>T-11: Baichuan-M3-235B load and a HealthBench subset</t>
        </is>
      </c>
      <c r="B60" s="11" t="inlineStr">
        <is>
          <t>D-15, D-16</t>
        </is>
      </c>
      <c r="C60" s="11" t="inlineStr">
        <is>
          <t>After Day 1</t>
        </is>
      </c>
      <c r="D60" s="11" t="inlineStr">
        <is>
          <t>At its post-Day-1 pull, on the i1-Q5_K_S file (S56, D-16): load at 1 × 16,384 with q8_0 first and copy the logged compute buffer into engines.json; check that both KV lines read q8_0, the rotation lines read n_rot_k = 128 and n_rot_v = 64, and LLAMA_ATTN_ROT_DISABLE is unset; then grant 32,768 (40,960 if at least 0.5 GiB is left), after T-03's q8_0 gate</t>
        </is>
      </c>
    </row>
    <row r="61">
      <c r="A61" s="11" t="inlineStr">
        <is>
          <t>T-12: Nemotron 3 Super with a prompt of 20K tokens or more</t>
        </is>
      </c>
      <c r="B61" s="11" t="inlineStr">
        <is>
          <t>D-13; llama.cpp #20732</t>
        </is>
      </c>
      <c r="C61" s="11" t="inlineStr">
        <is>
          <t>After Day 1</t>
        </is>
      </c>
      <c r="D61" s="11" t="inlineStr">
        <is>
          <t>At its post-Day-1 pull; Phase 3's alive check after the 8k prefill stays on every engine</t>
        </is>
      </c>
    </row>
    <row r="62">
      <c r="A62" s="11" t="inlineStr">
        <is>
          <t>T-13: slot save and restore per architecture</t>
        </is>
      </c>
      <c r="B62" s="11" t="inlineStr">
        <is>
          <t>D-44</t>
        </is>
      </c>
      <c r="C62" s="11" t="inlineStr">
        <is>
          <t>After Day 1</t>
        </is>
      </c>
      <c r="D62" s="11" t="inlineStr">
        <is>
          <t>Phased with slot save and restore (4.4); V21 records it as not tested</t>
        </is>
      </c>
    </row>
    <row r="63">
      <c r="A63" s="11" t="inlineStr">
        <is>
          <t>T-14: swap cost and re-prefill at 32k and 64k</t>
        </is>
      </c>
      <c r="B63" s="11" t="inlineStr">
        <is>
          <t>D-23, D-43; the 5.4 figures</t>
        </is>
      </c>
      <c r="C63" s="11" t="inlineStr">
        <is>
          <t>Day 1 scripted, in part; the rest after Day 1</t>
        </is>
      </c>
      <c r="D63" s="11" t="inlineStr">
        <is>
          <t>Phase 3 step 2 records each swap and prefill at 512 and 8k; the 32k and 64k re-prefill is a to-do (5.4)</t>
        </is>
      </c>
    </row>
    <row r="64">
      <c r="A64" s="11" t="inlineStr">
        <is>
          <t>T-15: the Qwen3 retrieval pair</t>
        </is>
      </c>
      <c r="B64" s="11" t="inlineStr">
        <is>
          <t>D-14, D-45, C-02, C-03</t>
        </is>
      </c>
      <c r="C64" s="11" t="inlineStr">
        <is>
          <t>Day 1 scripted, in part; the rest after Day 1</t>
        </is>
      </c>
      <c r="D64" s="11" t="inlineStr">
        <is>
          <t>Phase 2 step 4 checks the embedder's dimension and its query and passage forms and the reranker's ranking at the pin, and the Arbiter charges the pair's measured host RAM. Hit rate on the Principal's corpus, throughput on the CPU and the scar threshold are to-dos once a corpus exists (5.3, 9.4)</t>
        </is>
      </c>
    </row>
    <row r="65">
      <c r="A65" s="11" t="inlineStr">
        <is>
          <t>T-16: the S53 unknowns</t>
        </is>
      </c>
      <c r="B65" s="11" t="inlineStr">
        <is>
          <t>R28 on the node</t>
        </is>
      </c>
      <c r="C65" s="11" t="inlineStr">
        <is>
          <t>After Day 1</t>
        </is>
      </c>
      <c r="D65" s="11" t="inlineStr">
        <is>
          <t>At the first live sweep: ntfy's acceptance of the failure push and the real Celery worker path</t>
        </is>
      </c>
    </row>
    <row r="66">
      <c r="A66" s="11" t="inlineStr">
        <is>
          <t>T-17: vision on the Principal's documents</t>
        </is>
      </c>
      <c r="B66" s="11" t="inlineStr">
        <is>
          <t>D-20, D-21</t>
        </is>
      </c>
      <c r="C66" s="11" t="inlineStr">
        <is>
          <t>After Day 1</t>
        </is>
      </c>
      <c r="D66" s="11" t="inlineStr">
        <is>
          <t>GLM-5.3-Flash and its projector load in Phase 3; the comparison with Qwen3-VL-235B needs a file Day 1 does not pull</t>
        </is>
      </c>
    </row>
    <row r="67">
      <c r="A67" s="11" t="inlineStr">
        <is>
          <t>T-18: the corporate-seat bake-off</t>
        </is>
      </c>
      <c r="B67" s="11" t="inlineStr">
        <is>
          <t>D-10, D-12, D-28</t>
        </is>
      </c>
      <c r="C67" s="11" t="inlineStr">
        <is>
          <t>After Day 1</t>
        </is>
      </c>
      <c r="D67" s="11" t="inlineStr">
        <is>
          <t>With the Qwen3.8-Flash-Next pull</t>
        </is>
      </c>
    </row>
    <row r="68">
      <c r="A68" s="11" t="inlineStr">
        <is>
          <t>T-19: OCR on the Principal's documents</t>
        </is>
      </c>
      <c r="B68" s="11" t="inlineStr">
        <is>
          <t>C-04, D-14</t>
        </is>
      </c>
      <c r="C68" s="11" t="inlineStr">
        <is>
          <t>After Day 1</t>
        </is>
      </c>
      <c r="D68" s="11" t="inlineStr">
        <is>
          <t>With the phased OCR companion; it re-checks the budget (4.1)</t>
        </is>
      </c>
    </row>
    <row r="69">
      <c r="A69" s="11" t="inlineStr">
        <is>
          <t>T-20: word error rate on the Principal's audio</t>
        </is>
      </c>
      <c r="B69" s="11" t="inlineStr">
        <is>
          <t>C-05</t>
        </is>
      </c>
      <c r="C69" s="11" t="inlineStr">
        <is>
          <t>After Day 1</t>
        </is>
      </c>
      <c r="D69" s="11" t="inlineStr">
        <is>
          <t>14.1</t>
        </is>
      </c>
    </row>
    <row r="70">
      <c r="A70" s="11" t="inlineStr">
        <is>
          <t>T-21: diarisation</t>
        </is>
      </c>
      <c r="B70" s="11" t="inlineStr">
        <is>
          <t>C-06, D-05</t>
        </is>
      </c>
      <c r="C70" s="11" t="inlineStr">
        <is>
          <t>Day 1 scripted, in part; the rest after Day 1</t>
        </is>
      </c>
      <c r="D70" s="11" t="inlineStr">
        <is>
          <t>V6 loads community-1 and diarises a synthetic clip online and offline (Phase 2 step 5); Nemotron 3 Diarization against community-1 on the Principal's recordings after Day 1 (14.1)</t>
        </is>
      </c>
    </row>
    <row r="71">
      <c r="A71" s="11" t="inlineStr">
        <is>
          <t>T-22: Qwen3-TTS through llama-tts</t>
        </is>
      </c>
      <c r="B71" s="11" t="inlineStr">
        <is>
          <t>C-10</t>
        </is>
      </c>
      <c r="C71" s="11" t="inlineStr">
        <is>
          <t>After Day 1</t>
        </is>
      </c>
      <c r="D71" s="11" t="inlineStr">
        <is>
          <t>14.1</t>
        </is>
      </c>
    </row>
    <row r="72">
      <c r="A72" s="11" t="inlineStr">
        <is>
          <t>T-23: Chatterbox Turbo and Multilingual V3, and the CTranslate2 ROCm wheel, on the ROCm 10.0 image</t>
        </is>
      </c>
      <c r="B72" s="11" t="inlineStr">
        <is>
          <t>C-09; the GPU option of C-05</t>
        </is>
      </c>
      <c r="C72" s="11" t="inlineStr">
        <is>
          <t>After Day 1</t>
        </is>
      </c>
      <c r="D72" s="11" t="inlineStr">
        <is>
          <t>After the Phase 4 gate</t>
        </is>
      </c>
    </row>
    <row r="73">
      <c r="A73" s="11" t="inlineStr">
        <is>
          <t>T-24: the voice comparison</t>
        </is>
      </c>
      <c r="B73" s="11" t="inlineStr">
        <is>
          <t>C-08 to C-10</t>
        </is>
      </c>
      <c r="C73" s="11" t="inlineStr">
        <is>
          <t>Day 1 manual, in part; the rest after Day 1</t>
        </is>
      </c>
      <c r="D73" s="11" t="inlineStr">
        <is>
          <t>V7's listening test at the Phase 2 gate, with the Principal; the phased voices join it later</t>
        </is>
      </c>
    </row>
    <row r="74">
      <c r="A74" s="11" t="inlineStr">
        <is>
          <t>T-25: FLUX.1-dev and Z-Image-Turbo on gfx1151</t>
        </is>
      </c>
      <c r="B74" s="11" t="inlineStr">
        <is>
          <t>C-11</t>
        </is>
      </c>
      <c r="C74" s="11" t="inlineStr">
        <is>
          <t>Day 1 scripted, in part; the rest after Day 1</t>
        </is>
      </c>
      <c r="D74" s="11" t="inlineStr">
        <is>
          <t>FLUX.1-dev is built and produces a sample in Phase 4; Z-Image-Turbo and the stable-diffusion.cpp fallback are phased (15.2)</t>
        </is>
      </c>
    </row>
    <row r="75">
      <c r="A75" s="11" t="inlineStr">
        <is>
          <t>T-26: MMLU-Pro with a fixed harness</t>
        </is>
      </c>
      <c r="B75" s="11" t="inlineStr">
        <is>
          <t>D-10</t>
        </is>
      </c>
      <c r="C75" s="11" t="inlineStr">
        <is>
          <t>After Day 1</t>
        </is>
      </c>
      <c r="D75" s="11" t="inlineStr">
        <is>
          <t>On the Day 1 seats, then each phased engine</t>
        </is>
      </c>
    </row>
    <row r="76">
      <c r="A76" s="11" t="inlineStr">
        <is>
          <t>T-27: the Principal's own test sets</t>
        </is>
      </c>
      <c r="B76" s="11" t="inlineStr">
        <is>
          <t>D-49; D-10</t>
        </is>
      </c>
      <c r="C76" s="11" t="inlineStr">
        <is>
          <t>After Day 1</t>
        </is>
      </c>
      <c r="D76" s="11" t="inlineStr">
        <is>
          <t>*S56 (D-49):* the 100-task set in two waves of 50, drafted on the node by ATLAS and approved by the Principal, answered and judged blind through the evaluation runner (atlas-admin eval, built, phased; 6.2). A to-do for the Principal: the briefs and the standards list (Section 22). *S57:* the briefs are collected once ATLAS is live, from real examples as the work progresses, and the states are answered (VIC, NSW and QLD, with the Commonwealth); until the sets are scored GLM-5.3-Flash carries those seats unproven</t>
        </is>
      </c>
    </row>
    <row r="77">
      <c r="A77" s="11" t="inlineStr">
        <is>
          <t>T-28: sustained thermal and power-mode behaviour</t>
        </is>
      </c>
      <c r="B77" s="11" t="inlineStr">
        <is>
          <t>D-43</t>
        </is>
      </c>
      <c r="C77" s="11" t="inlineStr">
        <is>
          <t>Day 1 manual, in part; the rest after Day 1</t>
        </is>
      </c>
      <c r="D77" s="11" t="inlineStr">
        <is>
          <t>Temperatures watched in Cockpit during Phase 3's long tests (R10); hours-long generation after Day 1</t>
        </is>
      </c>
    </row>
    <row r="78">
      <c r="A78" s="11" t="inlineStr">
        <is>
          <t>T-29 to T-32: the V4.1 trial (container, quality, speed, second stage)</t>
        </is>
      </c>
      <c r="B78" s="11" t="inlineStr">
        <is>
          <t>D-46, D-47, D-51, D-52, D-55 to D-57, D-61</t>
        </is>
      </c>
      <c r="C78" s="11" t="inlineStr">
        <is>
          <t>After Day 1</t>
        </is>
      </c>
      <c r="D78" s="11" t="inlineStr">
        <is>
          <t>15.5. *S56 (D-46, D-47):* T-30 is the 40-task set, with its promotion rule written to the ledger before unblinding; T-31 measures greedy and the node's own settings at 8k and 32k, the floor judged on the slowest; T-32's promise is 45%. The runner is built (atlas-admin eval); the Principal's 8 to 10 TF_OMEGA situations are a to-do (trial-task-set)</t>
        </is>
      </c>
    </row>
    <row r="79">
      <c r="A79" s="11" t="inlineStr">
        <is>
          <t>T-33: an R9700 in a USB4 dock</t>
        </is>
      </c>
      <c r="B79" s="11" t="inlineStr">
        <is>
          <t>D-62 (b)</t>
        </is>
      </c>
      <c r="C79" s="11" t="inlineStr">
        <is>
          <t>Not scheduled</t>
        </is>
      </c>
      <c r="D79" s="11" t="inlineStr">
        <is>
          <t>Only if D-62 becomes (b) (W-DGPU, 3.7)</t>
        </is>
      </c>
    </row>
    <row r="80">
      <c r="A80" s="2" t="inlineStr">
        <is>
          <t>Day 1 scripted: a Day 1 step runs and records it. Day 1 manual: done by hand during Day 1, with the Principal. After Day 1: with its to-do; most wait on a phased engine or on the Principal's own material.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9"/>
  <sheetViews>
    <sheetView showGridLines="0" workbookViewId="0">
      <pane ySplit="3" topLeftCell="A4" activePane="bottomLeft" state="frozen"/>
      <selection pane="bottomLeft" activeCell="A1" sqref="A1"/>
    </sheetView>
  </sheetViews>
  <sheetFormatPr baseColWidth="8" defaultRowHeight="15"/>
  <cols>
    <col width="34" customWidth="1" min="1" max="1"/>
    <col width="46" customWidth="1" min="2" max="2"/>
    <col width="76" customWidth="1" min="3" max="3"/>
    <col width="60" customWidth="1" min="4" max="4"/>
  </cols>
  <sheetData>
    <row r="1">
      <c r="A1" s="1" t="inlineStr">
        <is>
          <t>Ref Hardware</t>
        </is>
      </c>
    </row>
    <row r="2">
      <c r="A2" s="2" t="inlineStr">
        <is>
          <t>Sections 2, 3.7 and 4.1. The machine v0.2 is built for, what is deliberately left out of its platform, and what its 192 GB actually buys (v0.4.0: one LLM seat at a time, about 156 GiB for it).</t>
        </is>
      </c>
    </row>
    <row r="4">
      <c r="A4" s="3" t="inlineStr">
        <is>
          <t>GMKtec EVO-X5 Pro, Gorgon Halo platform</t>
        </is>
      </c>
    </row>
    <row r="5">
      <c r="A5" s="10" t="inlineStr">
        <is>
          <t>Component</t>
        </is>
      </c>
      <c r="B5" s="10" t="inlineStr">
        <is>
          <t>Specification</t>
        </is>
      </c>
      <c r="C5" s="10" t="inlineStr">
        <is>
          <t>Design consequence</t>
        </is>
      </c>
    </row>
    <row r="6">
      <c r="A6" s="11" t="inlineStr">
        <is>
          <t>CPU</t>
        </is>
      </c>
      <c r="B6" s="11" t="inlineStr">
        <is>
          <t>AMD Ryzen AI Max+ PRO 495, 16 Zen 5 cores, 32 threads, up to 5.2 GHz, 64 MB cache</t>
        </is>
      </c>
      <c r="C6" s="11" t="inlineStr">
        <is>
          <t>Ample for orchestrator, Celery CPU workers, vector DB, browser automation, CPU-only tools (Radiance, EnergyPlus, KiCad, Docling) and, since v0.4.0, the Qwen3 4B embedder and reranker (D-14 (e), 4.1)</t>
        </is>
      </c>
    </row>
    <row r="7">
      <c r="A7" s="11" t="inlineStr">
        <is>
          <t>GPU</t>
        </is>
      </c>
      <c r="B7" s="11" t="inlineStr">
        <is>
          <t>Radeon 8065S, 40 CUs, RDNA 3.5, ROCm target gfx1151, confirmed by the Principal</t>
        </is>
      </c>
      <c r="C7" s="11" t="inlineStr">
        <is>
          <t>Runs all inference except the CPU retrieval pair (v0.4.0, 4.1). Same identifier as the previous machine, so every community ROCm, Vulkan and llama.cpp finding carries over unchanged</t>
        </is>
      </c>
    </row>
    <row r="8">
      <c r="A8" s="11" t="inlineStr">
        <is>
          <t>NPU</t>
        </is>
      </c>
      <c r="B8" s="11" t="inlineStr">
        <is>
          <t>XDNA 2, up to 55 TOPS</t>
        </is>
      </c>
      <c r="C8" s="11" t="inlineStr">
        <is>
          <t>Not used. Zero design dependency (re-checked 2026-10-09, watch-list W-NPU in 3.7). The 26.04 kernel already ships the NPU driver (amdxdna) and its firmware, so the NPU may show up as /dev/accel/accel0; that is harmless, no container is given it, and step 5 records what the node shows. Linux NPU software now exists (FastFlowLM, maintained by AMD, with an Ubuntu 26.04 package), so v0.3.4's "Windows-first" no longer holds, but it does not fit ATLAS today (3.7)</t>
        </is>
      </c>
    </row>
    <row r="9">
      <c r="A9" s="11" t="inlineStr">
        <is>
          <t>Memory</t>
        </is>
      </c>
      <c r="B9" s="11" t="inlineStr">
        <is>
          <t>192 GB LPDDR5X-8533, soldered</t>
        </is>
      </c>
      <c r="C9" s="11" t="inlineStr">
        <is>
          <t>273 GB/s. Decode speed = bandwidth ÷ active weight bytes. Not upgradeable</t>
        </is>
      </c>
    </row>
    <row r="10">
      <c r="A10" s="11" t="inlineStr">
        <is>
          <t>GPU-addressable memory</t>
        </is>
      </c>
      <c r="B10" s="11" t="inlineStr">
        <is>
          <t>All of MemTotal on Linux via GTT once Day 1 has switched off kexec handover (kho=off, S49; with it on, Ubuntu's 7.0 kernel keeps about 13 GiB of MemTotal where GPU pages cannot go), about 187 to 188 GiB expected once Day 1 has removed the 4.25 GiB that kdump-tools reserves for a crash kernel (S48), of which about 156 GiB is free for engines once the GPU resident set (the router), the CPU retrieval pair and the 16 GiB host reserve are subtracted (4.1; v0.3.5 said about 164 GiB, with the bge pair on the iGPU; v0.3.4 said ~180 GB and ~170 GB)</t>
        </is>
      </c>
      <c r="C10" s="11" t="inlineStr">
        <is>
          <t>VERIFY V3. The reason to buy this machine, and what makes the two 147 to 151 GiB Day 1 seats possible</t>
        </is>
      </c>
    </row>
    <row r="11">
      <c r="A11" s="11" t="inlineStr">
        <is>
          <t>Power</t>
        </is>
      </c>
      <c r="B11" s="11" t="inlineStr">
        <is>
          <t>45–120 W configurable TDP</t>
        </is>
      </c>
      <c r="C11" s="11" t="inlineStr">
        <is>
          <t>Principal is adding external cooling (R10)</t>
        </is>
      </c>
    </row>
    <row r="12">
      <c r="A12" s="11" t="inlineStr">
        <is>
          <t>Expansion</t>
        </is>
      </c>
      <c r="B12" s="11" t="inlineStr">
        <is>
          <t>USB4 ports with external GPU dock support; a third M.2 slot unused</t>
        </is>
      </c>
      <c r="C12" s="11" t="inlineStr">
        <is>
          <t>A CUDA-locked tool (NVIDIA Modulus/PhysicsNeMo) would need an NVIDIA card via the dock</t>
        </is>
      </c>
    </row>
    <row r="13">
      <c r="A13" s="11" t="inlineStr">
        <is>
          <t>Network</t>
        </is>
      </c>
      <c r="B13" s="11" t="inlineStr">
        <is>
          <t>Wired 10 GbE, by the Principal's choice of 2026-10-17 (S56, B-27): a cable from the 10 GbE port not marked DASH (the one away from DC IN) to a 2.5 GbE router port, decided before Phase 1, with Wi-Fi off the LAN subnet. A 2,000 Mbps Internet line. Until 2026-10-17 the node was to run on Wi-Fi only</t>
        </is>
      </c>
      <c r="C13" s="11" t="inlineStr">
        <is>
          <t>The cable is LAN_IFACE from Phase 1, so the DHCP reservation and the UDP 51820 forward move to that port's MAC. Both ports are Realtek RTL8127 parts, carried by kernel 7.0's r8169 driver (R9; VERIFIED). V1 is informational, not a gate, and records the link speed. The single-stream pull, not the line, sets the download time (15.4)</t>
        </is>
      </c>
    </row>
    <row r="14">
      <c r="A14" s="11" t="inlineStr">
        <is>
          <t>Storage 1</t>
        </is>
      </c>
      <c r="B14" s="11" t="inlineStr">
        <is>
          <t>8 TB NVMe, PCIe 4.0 x4</t>
        </is>
      </c>
      <c r="C14" s="11" t="inlineStr">
        <is>
          <t>/srv/atlas: models, engines, agent data, vector stores, vault. The growing side</t>
        </is>
      </c>
    </row>
    <row r="15">
      <c r="A15" s="11" t="inlineStr">
        <is>
          <t>Storage 2</t>
        </is>
      </c>
      <c r="B15" s="11" t="inlineStr">
        <is>
          <t>4 TB NVMe, PCIe 4.0 x4</t>
        </is>
      </c>
      <c r="C15" s="11" t="inlineStr">
        <is>
          <t>Operating system, logs, cold storage archives, restic backups. Both drives are now the same speed, so capacity decides the split, not bandwidth</t>
        </is>
      </c>
    </row>
    <row r="17">
      <c r="A17" s="3" t="inlineStr">
        <is>
          <t>Platform watch-list: considered, not adopted, and the guided tests for later (3.7, reviewed 2026-10-09; W-DRILL added 2026-10-11; W-DGPU, W-PLACEMENT, W-MEMGUARD, W-MANIFEST and W-SESSIONLOG added 2026-10-16)</t>
        </is>
      </c>
    </row>
    <row r="18">
      <c r="A18" s="10" t="inlineStr">
        <is>
          <t>Item</t>
        </is>
      </c>
      <c r="B18" s="10" t="inlineStr">
        <is>
          <t>What it is</t>
        </is>
      </c>
      <c r="C18" s="10" t="inlineStr">
        <is>
          <t>Why not now</t>
        </is>
      </c>
      <c r="D18" s="10" t="inlineStr">
        <is>
          <t>What would change the answer</t>
        </is>
      </c>
    </row>
    <row r="19">
      <c r="A19" s="11" t="inlineStr">
        <is>
          <t>W-NPU: the XDNA 2 NPU (reviewed 2026-10-09)</t>
        </is>
      </c>
      <c r="B19" s="11" t="inlineStr">
        <is>
          <t>The NPU inside the PRO 495. The Linux 7.4 patch ("accel/amdxdna: Add support for AIE2 revision 9", posted 2026-09-29) adds two lines that give it the name "NPU Gorgon Halo"; the driver binds by PCI identity (1022:17f0 at PCI revision 0x10, 0x11 or 0x20), not by this name table, so the patch changes no binding: a matching NPU binds under a generic name without it. That this chip matches is INFERRED (one user report of 1022:17f0 on a 7.2.8 kernel; no primary source for its revision), which is why step 5 records it. Kernel 7.0 has no name table at all, so the patch cannot apply to it. The in-tree amdxdna driver and the NPU firmware already ship in 26.04 (linux-modules-7.0.0-*-generic, linux-firmware-amd-misc). The only Linux NPU runtime is FastFlowLM (AMD/ROCm since v1.0.0, 2026-08-11; v1.0.7 has an Ubuntu 26.04 package whose XRT libraries are in universe); Lemonade reaches the NPU only through it</t>
        </is>
      </c>
      <c r="C19" s="11" t="inlineStr">
        <is>
          <t>Nothing ATLAS runs gains from it. No NPU build of the retrieval pair (bge-m3 and bge-reranker-v2-m3 at the 2026-10-09 review; Qwen3-Embedding-4B and Qwen3-Reranker-4B, on the CPU, since v0.4.0); the router model exists only in FastFlowLM's own 4-bit format and community figures put the NPU several times slower than the iGPU; the NPU shares the same 192 GB and the same bandwidth, so moving work to it frees nothing. FastFlowLM does not list this chip, runs closed-source NPU kernels under licence terms that contradict each other (README "free for any use", TERMS.md a USD 10M revenue threshold), loads one model per process and downloads models from Hugging Face, and the community container known to work needs seccomp=unconfined, unlimited memlock and a world-writable /dev/accel/accel0, where ATLAS's service containers drop their capabilities and keep the default seccomp profile (the one exception is Phase 4: if V11 shows on this node that the GPU self-test fails under the default profile and passes without it, Phase 4's GPU test containers run with seccomp=unconfined, recorded and warned). Getting Linux 7.4 code would mean leaving the GA kernel (3.3, S45) for a name</t>
        </is>
      </c>
      <c r="D19" s="11" t="inlineStr">
        <is>
          <t>FastFlowLM (or Lemonade) lists Gorgon Halo / Ryzen AI Max 400 and Ubuntu 26.04 as supported; its licence is settled in writing; an NPU build of a model ATLAS uses appears; a like-for-like speech-to-text measurement on Strix Halo or Gorgon Halo beats the CPU path on latency or energy without accuracy loss (Whisper is the only plausible candidate); a runtime that works under ATLAS's container hardening with models installed offline. Separately: a Gorgon Halo NPU fix in the 26.04 GA kernel by SRU (Launchpad bug 2169534, title seen only), or amdxdna errors in the step-5 record, which the normal SRU flow handles (blacklisting amdxdna is the fallback if it ever misbehaves)</t>
        </is>
      </c>
    </row>
    <row r="20">
      <c r="A20" s="11" t="inlineStr">
        <is>
          <t>W-PERFOPT: AMD IOMMU "PerfOpt" for integrated GPUs (reviewed 2026-10-09)</t>
        </is>
      </c>
      <c r="B20" s="11" t="inlineStr">
        <is>
          <t>A Linux 7.4 change that lets the iGPU bypass IOMMU translation when it is in identity mode (amdgpu.iommu_perfopt=0 turns it off)</t>
        </is>
      </c>
      <c r="C20" s="11" t="inlineStr">
        <is>
          <t>Not in the 7.0 kernel. Reported gains disagree (18 to 23% in one report, a typical 2 to 4% on Strix Halo in another), and it switches off the IOMMU's containment of GPU memory access (ATS, PRI, PASID and SVA disabled) on a node that enables the IOMMU (3.2); its merge was not confirmed from a primary source</t>
        </is>
      </c>
      <c r="D20" s="11" t="inlineStr">
        <is>
          <t>It reaches the 26.04 GA kernel by SRU, or independent llama.cpp Vulkan benchmarks on Strix or Gorgon Halo show at least 10% with the DMA trade-off reviewed; or ATLAS deliberately changes kernel line (W-KERNEL)</t>
        </is>
      </c>
    </row>
    <row r="21">
      <c r="A21" s="11" t="inlineStr">
        <is>
          <t>W-KERNEL: newer kernel lines (reviewed 2026-10-09)</t>
        </is>
      </c>
      <c r="B21" s="11" t="inlineStr">
        <is>
          <t>The 26.04 HWE kernels: the 26.10 kernel (7.3) is expected with the 26.04.2 point release (INFERRED; milestone 2027-02-18, possibly in -updates a month earlier); 26.04.3 the 27.04 kernel, the first stock Ubuntu kernel built on 7.4 code, around August 2027 by precedent; the line settles on the 28.04 kernel at 26.04.5 (about August or September 2028). The OEM kernels (linux-oem-26.04, -26.04a, -26.04b) are still 7.0-based with a shorter life</t>
        </is>
      </c>
      <c r="C21" s="11" t="inlineStr">
        <is>
          <t>The GA line stays on 7.0, the kernel the Section 3.3 parameters were validated on, with standard support to May 2031. The HWE line moves to a new kernel series about every six months until 2028, each a re-validation of V3a, V11 and V22 on an unattended node. Day 1 holds the node on GA (S45)</t>
        </is>
      </c>
      <c r="D21" s="11" t="inlineStr">
        <is>
          <t>A V-check or a driver feature that only a newer kernel provides, decided by the Principal as a deliberate change of line; then V3a, V11, V22, W-NPU and W-PERFOPT are re-tested together</t>
        </is>
      </c>
    </row>
    <row r="22">
      <c r="A22" s="11" t="inlineStr">
        <is>
          <t>W-DRILL: guided crash and watchdog tests, led by the live ATLAS with the Principal present (added 2026-10-11 at the Principal's request)</t>
        </is>
      </c>
      <c r="B22" s="11" t="inlineStr">
        <is>
          <t>Day 1 arms the crash restart (panic=10, S48) and the hardware watchdog (S50) but never proves that they work on this board. In a session the Principal has agreed to, ATLAS explains each test and its risk in plain words, waits for the Principal's go-ahead before each one, runs it, and records the result. (1) Crash restart: with all work written to disk (sync), a test panic (echo c &gt; /proc/sysrq-trigger). This proves that panic=10 restarts the node, that the TPM then unlocks both disks unattended, and whether a panic record reaches /var/lib/systemd/pstore (step 5 recorded the pstore backend). (2) Watchdog reset: ATLAS stops systemd's pings and lets the timer expire, about two minutes. This proves that this board's FCH timer really resets the node, again with the unattended unlock, and reads the reset cause on the next boot (the device's bootstatus, the kernel log). (3) Timer survival: after one of those resets, the Principal holds the next boot at the GRUB menu for over two minutes. A second reset means the timer outlives the board's reset, and loading the driver in the initramfs (S50) becomes a decision for the Principal. (4) Suspend: either a short suspend with the timer armed, to see whether it resets the node, or the Principal's choice to mask the sleep targets instead. Each UNKNOWN in S48 and S50 that a test settles is written back to this document as VERIFIED, with the date. Phase 1 step 5 puts the tests on the to-do list the live ATLAS works from (w-drill), and raises them again whenever step 5 runs after the live ATLAS has closed them</t>
        </is>
      </c>
      <c r="C22" s="11" t="inlineStr">
        <is>
          <t>Day 1 never triggers a panic or a reset: its phases run largely unattended, and a test that goes wrong (a failed unlock, a restart loop) needs the Principal at the console with the LUKS recovery keys (D3). The tests also need the live ATLAS and its records, which exist only once Day 1 is complete. A deliberate panic or reset is never ATLAS's own decision: it runs only in a session the Principal has agreed to and attends</t>
        </is>
      </c>
      <c r="D22" s="11" t="inlineStr">
        <is>
          <t>Day 1 complete (the Phase 4 gate passed) and the live ATLAS running: ATLAS then proposes the first session, for an idle node (no engine loaded, no task running, the night's AEGIS backup done), with the Principal at the console and the recovery keys at hand. ATLAS proposes the tests again after a BIOS or firmware update, a change of kernel line (W-KERNEL), a TPM re-seal, or any change to the S48 or S50 settings, since each can change the restart or unlock path</t>
        </is>
      </c>
    </row>
    <row r="23">
      <c r="A23" s="11" t="inlineStr">
        <is>
          <t>W-DGPU: a discrete GPU (added 2026-10-16; D-62 option (a), and D-63 option (a) for a second machine)</t>
        </is>
      </c>
      <c r="B23" s="11" t="inlineStr">
        <is>
          <t>A Radeon AI PRO R9700 (32 GB) in a USB4 v2 dock with a supply of 750 W or more, as a second device with its own memory pool. Its kernel parameters (thunderbolt.host_reset=false, amdgpu.runpm=0) and its power and noise limits would then join Sections 2, 3.3, 4.1 and 4.2 (S-55). A second machine, the Lucebox Zero 495 appliance, is not adopted either: it duplicates this node's processor, and its software checks for updates daily</t>
        </is>
      </c>
      <c r="C23" s="11" t="inlineStr">
        <is>
          <t>Lucebox's own engine measured large gains with the card for DeepSeek V4.1 and Qwen3.8-Flash-Next but almost none for the 0731 checkpoint ATLAS runs, and those are not the node's mainline Vulkan figures (UNVERIFIED here). The card costs about USD 1,800 before an unpriced dock and supply, never idles down with amdgpu.runpm=0, and brings a 300 W blower near 3,000 RPM</t>
        </is>
      </c>
      <c r="D23" s="11" t="inlineStr">
        <is>
          <t>The DeepSeek V4.1 trial (T-30, phased after Day 1) shows V4.1 or Qwen3.8-Flash-Next worth accelerating, preferably once a 32 GB card in a USB4 dock has been published working; the Principal then supplies a budget ceiling, the tolerance for the blower's noise and a second power brick, and whether external hardware is acceptable</t>
        </is>
      </c>
    </row>
    <row r="24">
      <c r="A24" s="11" t="inlineStr">
        <is>
          <t>W-PLACEMENT: usage-ranked expert placement (added 2026-10-16; D-64 (a), B-62)</t>
        </is>
      </c>
      <c r="B24" s="11" t="inlineStr">
        <is>
          <t>The most-called experts of a MoE engine sit in the fastest memory, ranked by a routing profile measured on the node. llama.cpp's -ot tensor overrides are its manual form</t>
        </is>
      </c>
      <c r="C24" s="11" t="inlineStr">
        <is>
          <t>The node has one memory pool, so there is nothing to rank between</t>
        </is>
      </c>
      <c r="D24" s="11" t="inlineStr">
        <is>
          <t>W-DGPU is adopted: this is then the design to follow for the card's 32 GB</t>
        </is>
      </c>
    </row>
    <row r="25">
      <c r="A25" s="11" t="inlineStr">
        <is>
          <t>W-MEMGUARD: Lucebox Manage's memory guard (added 2026-10-16; D-64 (a), B-63)</t>
        </is>
      </c>
      <c r="B25" s="11" t="inlineStr">
        <is>
          <t>A guard that stops a program filling memory before the machine can freeze</t>
        </is>
      </c>
      <c r="C25" s="11" t="inlineStr">
        <is>
          <t>Partly covered already: the Arbiter's hard pre-flight against a budget that keeps a fixed 16 GiB host reserve (4.1, 4.3) is the same idea, and a second guard would duplicate it</t>
        </is>
      </c>
      <c r="D25" s="11" t="inlineStr">
        <is>
          <t>The next baseline revision compares it with the Arbiter, rather than adding a second guard now</t>
        </is>
      </c>
    </row>
    <row r="26">
      <c r="A26" s="11" t="inlineStr">
        <is>
          <t>W-MANIFEST: signed release manifests that expire (added 2026-10-16; D-64 (a), B-64)</t>
        </is>
      </c>
      <c r="B26" s="11" t="inlineStr">
        <is>
          <t>Lucebox signs its releases with Ed25519, and a manifest expires after 120 days</t>
        </is>
      </c>
      <c r="C26" s="11" t="inlineStr">
        <is>
          <t>Phase 4 and the llama.cpp builds pin exact versions and build once, with no expiry; the idea implies no updater and no outbound check, but nothing on Day 1 needs it</t>
        </is>
      </c>
      <c r="D26" s="11" t="inlineStr">
        <is>
          <t>A decision to re-attest the node's own pinned images on a schedule, as a cheap discipline with no updater and no outbound check</t>
        </is>
      </c>
    </row>
    <row r="27">
      <c r="A27" s="11" t="inlineStr">
        <is>
          <t>W-SESSIONLOG: retrieval from local agent session logs (added 2026-10-16; D-64 (a), B-65)</t>
        </is>
      </c>
      <c r="B27" s="11" t="inlineStr">
        <is>
          <t>Lucebox's "Learning" without the marketing: relevant past work retrieved from local agent session logs into the prompt; retrieval, not training (its LoRA adapters are "Coming soon")</t>
        </is>
      </c>
      <c r="C27" s="11" t="inlineStr">
        <is>
          <t>The Vector Cortex and the graph layer (10.1, 10.2) index memory and documents, not session logs, and nothing on Day 1 needs them</t>
        </is>
      </c>
      <c r="D27" s="11" t="inlineStr">
        <is>
          <t>The live ATLAS has session logs worth retrieving: they then become a candidate source for the existing retrieval stack, not a new one</t>
        </is>
      </c>
    </row>
    <row r="28">
      <c r="A28" s="2" t="inlineStr">
        <is>
          <t>Raised by the report 'Linux 7.4 to support the NPU on Ryzen AI Max 400 Gorgon Halo' (2026-09-30): a device-name patch with nothing to adopt. Day 1 records the NPU and the kernel line in Phase 1 step 5 and holds the GA 7.0 kernel line in step 4 (S45). W-DRILL (2026-10-11, at the Principal's request) is not a change left out: it defers the crash and watchdog tests of S48 and S50 to the live ATLAS, which proposes them once Day 1 is complete and runs each only with the Principal present and agreeing. The five items of 2026-10-16 come from the Lucebox review (D-62 (a), D-63 (a), D-64 (a), approved by the Principal): none is adopted and none changes Day 1.</t>
        </is>
      </c>
    </row>
    <row r="30">
      <c r="A30" s="3" t="inlineStr">
        <is>
          <t>Memory budget</t>
        </is>
      </c>
    </row>
    <row r="31">
      <c r="A31" s="10" t="inlineStr">
        <is>
          <t>Consumer</t>
        </is>
      </c>
      <c r="B31" s="10" t="inlineStr">
        <is>
          <t>Budget</t>
        </is>
      </c>
      <c r="C31" s="10" t="inlineStr">
        <is>
          <t>Notes</t>
        </is>
      </c>
    </row>
    <row r="32">
      <c r="A32" s="11" t="inlineStr">
        <is>
          <t>Ubuntu Server, XFCE, Docker, Cockpit</t>
        </is>
      </c>
      <c r="B32" s="11" t="inlineStr">
        <is>
          <t>4 GB</t>
        </is>
      </c>
      <c r="C32" s="11" t="inlineStr">
        <is>
          <t>XFCE adds roughly 0.5 GB over the headless figure in v0.1</t>
        </is>
      </c>
    </row>
    <row r="33">
      <c r="A33" s="11" t="inlineStr">
        <is>
          <t>Open WebUI, ChromaDB, graph store</t>
        </is>
      </c>
      <c r="B33" s="11" t="inlineStr">
        <is>
          <t>3 GB</t>
        </is>
      </c>
      <c r="C33" s="11" t="inlineStr">
        <is>
          <t>v0.4.0: the embedding model has its own row below (D-14 (e)); v0.3.5 counted it here, at 4 GB for the row</t>
        </is>
      </c>
    </row>
    <row r="34">
      <c r="A34" s="11" t="inlineStr">
        <is>
          <t>Kokoro, Whisper Large-v3-Turbo, PyAnnote</t>
        </is>
      </c>
      <c r="B34" s="11" t="inlineStr">
        <is>
          <t>3 GB</t>
        </is>
      </c>
      <c r="C34" s="11" t="inlineStr">
        <is>
          <t>Always loaded. v0.4.0 (C-06): the diarisation pipeline is pyannote speaker-diarization-community-1, replacing 3.1, which V6 probes only as a diagnostic when community-1 is refused (14.1); nothing falls back to it</t>
        </is>
      </c>
    </row>
    <row r="35">
      <c r="A35" s="11" t="inlineStr">
        <is>
          <t>Orchestrator, Celery workers, Redis, Sentinel, ntfy, WG-Easy</t>
        </is>
      </c>
      <c r="B35" s="11" t="inlineStr">
        <is>
          <t>1–2 GB</t>
        </is>
      </c>
      <c r="C35" s="11" t="inlineStr"/>
    </row>
    <row r="36">
      <c r="A36" s="11" t="inlineStr">
        <is>
          <t>CPU-side subtotal</t>
        </is>
      </c>
      <c r="B36" s="11" t="inlineStr">
        <is>
          <t>~12 GB</t>
        </is>
      </c>
      <c r="C36" s="11" t="inlineStr">
        <is>
          <t>Inside the Arbiter's fixed 16 GiB host reserve, with transient CPU work and kernel overhead (S44, S48); the host-side consumers the reserve covers are bounded since S55 (below the table)</t>
        </is>
      </c>
    </row>
    <row r="37">
      <c r="A37" s="11" t="inlineStr">
        <is>
          <t>Eleanor's resident router model, Qwen3.5-4B Q8_0, on the iGPU</t>
        </is>
      </c>
      <c r="B37" s="11" t="inlineStr">
        <is>
          <t>~5.5 GiB</t>
        </is>
      </c>
      <c r="C37" s="11" t="inlineStr">
        <is>
          <t>Always loaded. The whole GPU resident set since v0.4.0: a 4.48 GB file (4.17 GiB), about 0.53 GiB of q8_0 KV at 4 × 8k and its compute buffers (INFERRED until the Arbiter measures the set at startup). Classification only: Eleanor's own persona work runs on GLM-5.3-Flash (P-10)</t>
        </is>
      </c>
    </row>
    <row r="38">
      <c r="A38" s="11" t="inlineStr">
        <is>
          <t>Qwen3-Embedding-4B and Qwen3-Reranker-4B Q8_0, on the CPU</t>
        </is>
      </c>
      <c r="B38" s="11" t="inlineStr">
        <is>
          <t>~9.6 GiB</t>
        </is>
      </c>
      <c r="C38" s="11" t="inlineStr">
        <is>
          <t>Always loaded (D-14 (e), D-45 (a), C-02, C-03), replacing the bge pair. Two 4.28 GB files (2 × 3.99 GiB), each with about 0.30 GiB of q8_0 KV at 4,096 tokens and a 0.5 GiB compute allowance: 9.57 GiB projected (INFERRED). They run with --device none, so the GPU memory counter never shows them; the Arbiter charges each unit its weights' bytes in full (they stay file-backed pages the kernel may drop and re-read, so VmRSS can show less than the file) plus its measured anonymous memory (RssAnon + RssShmem of the unit's main process: the KV cache and compute buffers), never below this projection, which stands in while a unit cannot be measured: the host resident set. The host-reserve warning (S44) looks past only that anonymous share, since clean file pages count as available; atlas-admin arbiter status applies the same rule. T-15 measures their real host footprint and their throughput on the CPU against the iGPU (to-do)</t>
        </is>
      </c>
    </row>
    <row r="39">
      <c r="A39" s="11" t="inlineStr">
        <is>
          <t>Withheld from engines</t>
        </is>
      </c>
      <c r="B39" s="11" t="inlineStr">
        <is>
          <t>~31 GiB</t>
        </is>
      </c>
      <c r="C39" s="11" t="inlineStr">
        <is>
          <t>The 16 GiB reserve, the GPU resident set (~5.5) and the host resident set (~9.6). v0.3.5 withheld about 22 to 24 GiB: the reserve and a GPU set of 6 to 8 GiB with the bge pair on the iGPU</t>
        </is>
      </c>
    </row>
    <row r="40">
      <c r="A40" s="11" t="inlineStr">
        <is>
          <t>Usable for engines</t>
        </is>
      </c>
      <c r="B40" s="11" t="inlineStr">
        <is>
          <t>~156 GiB (expected)</t>
        </is>
      </c>
      <c r="C40" s="11" t="inlineStr">
        <is>
          <t>The memory pool minus what is withheld above (v0.3.5 said ~164 GiB; v0.3.4 said ~180 GB minus ~17 GB, ~170 GB). The Arbiter computes it in GiB as the smaller of the GTT total and MemTotal (kernel 7.0.0-38 reports the requested 192 GiB, more than the node has; S47), minus the GPU resident set it measures (the router alone since v0.4.0, about 5.5 GiB), minus the host resident set (the CPU retrieval pair, about 9.6 GiB, D-14 (e)), minus a fixed 16 GiB reserve for the CPU-side rows above (about 12 GB) plus transient CPU work and kernel overhead, which the GPU memory counter never sees (v0.3.5, S44, S48). MemTotal is the real limit, every page of it able to hold GTT memory, because Phase 1 step 4 also puts kho=off on the kernel line (S49): with kexec handover on, as Ubuntu's 7.0 kernel has it by default, about 12 to 14 GiB of MemTotal (about 13 expected, INFERRED) would be CMA scratch that GTT pages can never use, so the pool would overstate what engines can get by that much and the largest seats would likely fail for want of memory in Phase 3 although the Arbiter granted them; V3a fails while any of it is set aside, and kho=off leaves MemTotal itself unchanged. MemTotal is expected near 187 to 188 GiB once Phase 1 step 4 has removed the 4.25 GiB crash-kernel reservation that kdump-tools puts on the kernel line (192 GiB less the UMA carve-out, 512 MiB at the BIOS minimum of 3.2, the kernel's page map of about 3 GiB and about 0.5 GiB of firmware and kernel; an estimate until V3a records the real figure, S48). The budget is then (187 to 188) − 5.5 − 9.6 − 16 = about 155.9 to 156.9 GiB, about 156 GiB expected (INFERRED). The largest Day 1 seat, GLM-5.3-Flash at 155.05 GiB projected, fits while MemTotal is at least 155.05 + 16 + 5.5 + 9.57 = about 186.1 GiB, which leaves 0.9 to 1.9 GiB to spare; DeepSeek-V4-Flash-0731 at 153.64 GiB needs about 184.7 GiB and leaves 2.3 to 3.3 GiB (table below). With the reservation still in place MemTotal would be about 183 to 184 GiB, below both thresholds (183.5 GiB refuses both seats), so V3a fails on any reserved crash-kernel memory. Every figure in the table below is measured against this budget, not against the raw 192 GB. VERIFY V3 on first boot before anything depends on it</t>
        </is>
      </c>
    </row>
    <row r="41">
      <c r="A41" s="2" t="inlineStr">
        <is>
          <t>v0.4.0 (D-14 (e), D-31, D-32, approved by the Principal on 2026-10-16): the router is the whole GPU resident set (about 5.5 GiB); the Qwen3 embedder and reranker run on the CPU and the Engine Arbiter charges them as a host resident set of their own (about 9.6 GiB projected; once running, their weights in full plus their measured anonymous memory, never below the projection); every engine is budgeted from the exact bytes of its files, and one LLM seat runs alone in what is left, about 156 GiB expected. The Arbiter budgets from min(GTT total, MemTotal) and keeps the 16 GiB host reserve for what the GPU memory counter never sees (v0.3.5, S44, S48, S49): the CPU-side rows (about 12 GB) plus transient CPU work and kernel overhead. The fit needs MemTotal near its expected 187 to 188 GiB, which holds only because Phase 1 step 4 removes the 4.25 GiB that kdump-tools reserves for a crash kernel (S48) and puts kho=off on the kernel line (S49), V3a proving both; with the reservation in place neither Day 1 seat fits. ATLAS_ARBITER_HEADROOM_GIB in orchestrator.env changes the reserve and ATLAS_ARBITER_MAX_RESIDENT the seat limit (default 1). Each chat llama-server's host-RAM prompt cache and its context checkpoints sit outside the budget; since S55 (approved by the Principal on 2026-10-17) every engine has an explicit --cache-ram (4096 MiB for chat and vision, 1024 for the router, 0 for the CPU pair, so at most 5 GiB for the router and one seat where the 8 GiB default allowed 16), /tmp is capped at 4 GiB, the Celery cpu worker runs at most 8 children, Kokoro, speaches and Docling are capped, and the out-of-memory killer takes background work first. Phase 3 measures the caches and raises the to-do cache-ram (S52), which asks whether to change a cap.</t>
        </is>
      </c>
    </row>
    <row r="43">
      <c r="A43" s="3" t="inlineStr">
        <is>
          <t>What each Day 1 seat takes, run alone (4.1, v0.4.0)</t>
        </is>
      </c>
    </row>
    <row r="44">
      <c r="A44" s="10" t="inlineStr">
        <is>
          <t>Seat, run alone</t>
        </is>
      </c>
      <c r="B44" s="10" t="inlineStr">
        <is>
          <t>Projected footprint</t>
        </is>
      </c>
      <c r="C44" s="10" t="inlineStr">
        <is>
          <t>Verdict</t>
        </is>
      </c>
    </row>
    <row r="45">
      <c r="A45" s="11" t="inlineStr">
        <is>
          <t>GLM-5.3-Flash UD-IQ4_XS with its glm5v mmproj (157.95 GB = 147.10 GiB of files), 8 × 32k, f16 KV</t>
        </is>
      </c>
      <c r="B45" s="11" t="inlineStr">
        <is>
          <t>155.05 GiB: weights 147.10, KV 4.81, recurrent state 1.14, compute buffers 2.0</t>
        </is>
      </c>
      <c r="C45" s="11" t="inlineStr">
        <is>
          <t>Fits, with 0.9 to 1.9 GiB to spare: the thinnest margin of the set. It is refused if the GPU resident set exceeds about 6.4 GiB at a MemTotal of 187 GiB, or if MemTotal is below about 186.1 GiB. Relief, in order: Phase 3's measured footprint replaces the projection (4.2 rule 1); fewer GLM slots (D-48, 4.3); a q8_0 cache if T-04 allows it (2.25 GiB less); a smaller reserve once host use has been measured. The to-do kv-estimates carries the measured figures for the Principal's decision</t>
        </is>
      </c>
    </row>
    <row r="46">
      <c r="A46" s="11" t="inlineStr">
        <is>
          <t>DeepSeek-V4-Flash-0731 UD-Q8_K_XL (161.87 GB = 150.75 GiB), 1 × 131,072, f16 KV</t>
        </is>
      </c>
      <c r="B46" s="11" t="inlineStr">
        <is>
          <t>153.64 GiB: weights 150.75, KV 0.84, per-slot state 0.04, compute buffers 2.0 (the q8_0 rung: 153.24)</t>
        </is>
      </c>
      <c r="C46" s="11" t="inlineStr">
        <is>
          <t>Fits, with 2.3 to 3.3 GiB to spare. Before D-31 the 161.87 GB file was read as 161.87 GiB and refused. The register's "about 13 GiB" of room (D-11) assumed the bge pair on the iGPU; with the CPU pair resident the room is this. Should Phase 3 find it short (T-06), the relief order is: stop the reranker, which has no Day 1 caller (about 4.8 GiB); cut the context; fall back to UD-Q4_K_XL (155.10 GB = 144.44 GiB, D-11 (b)). *S56 (T-06):* a decode below the 4 tok/s floor with clean placement lines also brings in UD-Q4_K_XL (5.1, 9.1). Its native 1,048,576-token window does not fit (6.72 GiB of f16 KV)</t>
        </is>
      </c>
    </row>
    <row r="47">
      <c r="A47" s="11" t="inlineStr">
        <is>
          <t>gpt-oss-120b F16-trunk GGUF, native MXFP4 experts (65.37 GB = 60.88 GiB), 8 × 32k, q8_0 KV</t>
        </is>
      </c>
      <c r="B47" s="11" t="inlineStr">
        <is>
          <t>68.29 GiB: weights 60.88, KV 4.78, sliding-window cache 0.63, compute buffers 2.0</t>
        </is>
      </c>
      <c r="C47" s="11" t="inlineStr">
        <is>
          <t>Fits, with about 88 GiB to spare that stays unused: it runs alone like every seat (4.2 rule 3). The fast utility and the fallback floor every seat can use (D-12, D-40)</t>
        </is>
      </c>
    </row>
    <row r="48">
      <c r="A48" s="11" t="inlineStr">
        <is>
          <t>v0.3.5's two-engine pairings (142 GB and 126 GB) and the everyday text-and-vision pair</t>
        </is>
      </c>
      <c r="B48" s="11" t="inlineStr">
        <is>
          <t>—</t>
        </is>
      </c>
      <c r="C48" s="11" t="inlineStr">
        <is>
          <t>Withdrawn (D-32 (a), S-22): one LLM seat is resident at a time, and vision runs on the GLM unit itself (D-20 (a)). Nemotron 3 Super, Qwen3.5-122B, Qwen2.5-VL-72B and Meditron leave the Day 1 roster (D-13, D-21)</t>
        </is>
      </c>
    </row>
    <row r="49">
      <c r="A49" s="2" t="inlineStr">
        <is>
          <t>One LLM seat is resident at a time (D-32 (a); C30 on sheet 2 supersedes C26); exactly one generation runs, everywhere, Celery jobs included. Every figure is the Arbiter's own projection at the profile engines.json renders, INFERRED until Phase 3 measures it (to-dos kv-estimates and cache-ram). GLM-5.3-Flash has the thinnest margin, 0.9 to 1.9 GiB; its relief order is in its row. The gpt-oss-120b-abliterated entry is unchanged by this revision.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2026-10-17T11:38:39Z</dcterms:created>
  <dcterms:modified xsi:type="dcterms:W3CDTF">2026-10-17T11:38:39Z</dcterms:modified>
</cp:coreProperties>
</file>