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Resolutions'!$A$4:$E$30</definedName>
    <definedName name="_xlnm._FilterDatabase" localSheetId="3" hidden="1">'3 Risks'!$A$4:$G$27</definedName>
    <definedName name="_xlnm._FilterDatabase" localSheetId="4" hidden="1">'4 Verification'!$A$4:$E$27</definedName>
    <definedName name="_xlnm._FilterDatabase" localSheetId="5" hidden="1">'5 Checklist'!$A$4:$E$27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v0.3.3 (2026-10-05). The Day 1 scripts are delivered under scripts/day1 and never stop on a missing input from the Principal (they ask once, defer, and keep a to-do list); this workbook carries the record of decisions and the two risk rows still to acknowledge. Nothing has been executed.</t>
        </is>
      </c>
    </row>
    <row r="4">
      <c r="A4" s="3" t="inlineStr">
        <is>
          <t>How to use this workbook</t>
        </is>
      </c>
    </row>
    <row r="5">
      <c r="A5" s="4" t="inlineStr">
        <is>
          <t>1. Sheets 1, 2 and 3 are a record of your answers of 2026-09-21 and 2026-10-05 (D15: Secure Boot enabled). Two rows still need you: R22 and R23 on sheet 3.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and memory budget, engines, cabinet, domains, task forces, integrations, voice, multimodal, governance, Day 1) for checking against.</t>
        </is>
      </c>
    </row>
    <row r="10">
      <c r="A10" s="4" t="inlineStr">
        <is>
          <t>6. Outstanding before Day 1: R22, R23 and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Resolutions'!$A$5:$A$30)</f>
        <v/>
      </c>
      <c r="C22" s="12">
        <f>B22-G22</f>
        <v/>
      </c>
      <c r="D22" s="12">
        <f>COUNTIF('2 Resolutions'!$D$5:$D$30,"Accept")</f>
        <v/>
      </c>
      <c r="E22" s="12">
        <f>0</f>
        <v/>
      </c>
      <c r="F22" s="12">
        <f>COUNTIF('2 Resolutions'!$D$5:$D$30,"Disagree - return to decisions")</f>
        <v/>
      </c>
      <c r="G22" s="12">
        <f>COUNTBLANK('2 Resolutions'!$D$5:$D$30)</f>
        <v/>
      </c>
    </row>
    <row r="23">
      <c r="A23" s="11" t="inlineStr">
        <is>
          <t>3 Risks</t>
        </is>
      </c>
      <c r="B23" s="12">
        <f>COUNTA('3 Risks'!$A$5:$A$27)</f>
        <v/>
      </c>
      <c r="C23" s="12">
        <f>B23-G23</f>
        <v/>
      </c>
      <c r="D23" s="12">
        <f>COUNTIF('3 Risks'!$F$5:$F$27,"Yes")</f>
        <v/>
      </c>
      <c r="E23" s="12">
        <f>0</f>
        <v/>
      </c>
      <c r="F23" s="12">
        <f>COUNTIF('3 Risks'!$F$5:$F$27,"Discuss")</f>
        <v/>
      </c>
      <c r="G23" s="12">
        <f>COUNTBLANK('3 Risks'!$F$5:$F$27)</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Checklist'!$A$5:$A$27)</f>
        <v/>
      </c>
      <c r="C25" s="12">
        <f>B25-G25</f>
        <v/>
      </c>
      <c r="D25" s="12">
        <f>COUNTIF('5 Checklist'!$D$5:$D$27,"Yes")+COUNTIF('5 Checklist'!$D$5:$D$27,"N/A")</f>
        <v/>
      </c>
      <c r="E25" s="12">
        <f>0</f>
        <v/>
      </c>
      <c r="F25" s="12">
        <f>COUNTIF('5 Checklist'!$D$5:$D$27,"No")</f>
        <v/>
      </c>
      <c r="G25" s="12">
        <f>COUNTBLANK('5 Checklist'!$D$5:$D$27)</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All twenty-six resolutions accepted in the workbook returned 2026-09-21.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The 24.04.5 point release backports the same kernel 7.0 and Mesa 26.0, so hardware support is identical; 26.04.1 wins on support life and toolchain (3.1)</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sheetData>
  <autoFilter ref="A4:E30"/>
  <conditionalFormatting sqref="D5:D30">
    <cfRule type="cellIs" priority="1" operator="equal" dxfId="0">
      <formula>"Accept"</formula>
    </cfRule>
    <cfRule type="cellIs" priority="2" operator="equal" dxfId="1">
      <formula>"Disagree - return to decisions"</formula>
    </cfRule>
  </conditionalFormatting>
  <dataValidations count="1">
    <dataValidation sqref="D5:D30"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are new in v0.3.2 and blank;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n"/>
      <c r="G17" s="17" t="n"/>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n"/>
      <c r="G18" s="17" t="n"/>
    </row>
    <row r="19">
      <c r="A19" s="12" t="inlineStr">
        <is>
          <t>R10</t>
        </is>
      </c>
      <c r="B19" s="11" t="inlineStr">
        <is>
          <t>Sustained thermal load in a small chassis</t>
        </is>
      </c>
      <c r="C19" s="11" t="inlineStr">
        <is>
          <t>Medium</t>
        </is>
      </c>
      <c r="D19" s="11" t="inlineStr">
        <is>
          <t>Low</t>
        </is>
      </c>
      <c r="E19" s="11" t="inlineStr">
        <is>
          <t>Monitor temperatures in Cockpit; the chip's configurable ceiling is 120 W and the Principal is adding external cooling</t>
        </is>
      </c>
      <c r="F19" s="16" t="inlineStr">
        <is>
          <t>Yes</t>
        </is>
      </c>
      <c r="G19" s="17" t="n"/>
    </row>
    <row r="20">
      <c r="A20" s="12" t="inlineStr">
        <is>
          <t>R11</t>
        </is>
      </c>
      <c r="B20" s="11" t="inlineStr">
        <is>
          <t>CGNAT prevents inbound WireGuard</t>
        </is>
      </c>
      <c r="C20" s="11" t="inlineStr">
        <is>
          <t>Low, port forward already succeeded</t>
        </is>
      </c>
      <c r="D20" s="11" t="inlineStr">
        <is>
          <t>High for remote access</t>
        </is>
      </c>
      <c r="E20" s="11" t="inlineStr">
        <is>
          <t>V5 from mobile data, static IP from the ISP if needed</t>
        </is>
      </c>
      <c r="F20" s="16" t="inlineStr">
        <is>
          <t>Yes</t>
        </is>
      </c>
      <c r="G20" s="17" t="n"/>
    </row>
    <row r="21">
      <c r="A21" s="12" t="inlineStr">
        <is>
          <t>R12</t>
        </is>
      </c>
      <c r="B21" s="11" t="inlineStr">
        <is>
          <t>Fictitious directors corresponding as humans, AI non-disclosure</t>
        </is>
      </c>
      <c r="C21" s="11" t="inlineStr">
        <is>
          <t>Medium</t>
        </is>
      </c>
      <c r="D21" s="11" t="inlineStr">
        <is>
          <t>Medium to high, legal</t>
        </is>
      </c>
      <c r="E21" s="11" t="inlineStr">
        <is>
          <t>Gideon's sensitive-tier check, approval gate, 16.5</t>
        </is>
      </c>
      <c r="F21" s="16" t="inlineStr">
        <is>
          <t>Yes</t>
        </is>
      </c>
      <c r="G21" s="17" t="n"/>
    </row>
    <row r="22">
      <c r="A22" s="12" t="inlineStr">
        <is>
          <t>R13</t>
        </is>
      </c>
      <c r="B22" s="11" t="inlineStr">
        <is>
          <t>Abliterated engine used for external output</t>
        </is>
      </c>
      <c r="C22" s="11" t="inlineStr">
        <is>
          <t>Medium</t>
        </is>
      </c>
      <c r="D22" s="11" t="inlineStr">
        <is>
          <t>Medium</t>
        </is>
      </c>
      <c r="E22" s="11" t="inlineStr">
        <is>
          <t>Abliterated output always passes the same gate, never routine tier</t>
        </is>
      </c>
      <c r="F22" s="16" t="inlineStr">
        <is>
          <t>Yes</t>
        </is>
      </c>
      <c r="G22" s="17" t="n"/>
    </row>
    <row r="23">
      <c r="A23" s="12" t="inlineStr">
        <is>
          <t>R14</t>
        </is>
      </c>
      <c r="B23" s="11" t="inlineStr">
        <is>
          <t>Chatterbox continuation quirk in production speech</t>
        </is>
      </c>
      <c r="C23" s="11" t="inlineStr">
        <is>
          <t>Medium</t>
        </is>
      </c>
      <c r="D23" s="11" t="inlineStr">
        <is>
          <t>Low</t>
        </is>
      </c>
      <c r="E23" s="11" t="inlineStr">
        <is>
          <t>V7 testing, Kokoro fallback per line</t>
        </is>
      </c>
      <c r="F23" s="16" t="inlineStr">
        <is>
          <t>Yes</t>
        </is>
      </c>
      <c r="G23" s="17" t="n"/>
    </row>
    <row r="24">
      <c r="A24" s="12" t="inlineStr">
        <is>
          <t>R15</t>
        </is>
      </c>
      <c r="B24" s="11" t="inlineStr">
        <is>
          <t>Prompt bloat from domain injection makes every dispatch slow</t>
        </is>
      </c>
      <c r="C24" s="11" t="inlineStr">
        <is>
          <t>High without limits</t>
        </is>
      </c>
      <c r="D24" s="11" t="inlineStr">
        <is>
          <t>High, usability</t>
        </is>
      </c>
      <c r="E24" s="11" t="inlineStr">
        <is>
          <t>Three-card limit, compact cards, stable-prefix ordering (8.4, 4.4)</t>
        </is>
      </c>
      <c r="F24" s="16" t="inlineStr">
        <is>
          <t>Yes</t>
        </is>
      </c>
      <c r="G24" s="17" t="n"/>
    </row>
    <row r="25">
      <c r="A25" s="12" t="inlineStr">
        <is>
          <t>R16</t>
        </is>
      </c>
      <c r="B25" s="11" t="inlineStr">
        <is>
          <t>Backup passphrase or LUKS key lost with the node</t>
        </is>
      </c>
      <c r="C25" s="11" t="inlineStr">
        <is>
          <t>Low</t>
        </is>
      </c>
      <c r="D25" s="11" t="inlineStr">
        <is>
          <t>Catastrophic</t>
        </is>
      </c>
      <c r="E25"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5" s="16" t="inlineStr">
        <is>
          <t>Yes</t>
        </is>
      </c>
      <c r="G25" s="17" t="n"/>
    </row>
    <row r="26">
      <c r="A26" s="12" t="inlineStr">
        <is>
          <t>R17</t>
        </is>
      </c>
      <c r="B26" s="11" t="inlineStr">
        <is>
          <t>PyAnnote gated model not accepted, diarisation silently absent</t>
        </is>
      </c>
      <c r="C26" s="11" t="inlineStr">
        <is>
          <t>Medium</t>
        </is>
      </c>
      <c r="D26" s="11" t="inlineStr">
        <is>
          <t>Low</t>
        </is>
      </c>
      <c r="E26" s="11" t="inlineStr">
        <is>
          <t>V6</t>
        </is>
      </c>
      <c r="F26" s="16" t="inlineStr">
        <is>
          <t>Yes</t>
        </is>
      </c>
      <c r="G26" s="17" t="n"/>
    </row>
    <row r="27">
      <c r="A27" s="12" t="inlineStr">
        <is>
          <t>R18</t>
        </is>
      </c>
      <c r="B27" s="11" t="inlineStr">
        <is>
          <t>Continuous vision enabled by drift rather than decision</t>
        </is>
      </c>
      <c r="C27" s="11" t="inlineStr">
        <is>
          <t>Low</t>
        </is>
      </c>
      <c r="D27" s="11" t="inlineStr">
        <is>
          <t>High, privacy</t>
        </is>
      </c>
      <c r="E27" s="11" t="inlineStr">
        <is>
          <t>Separate capability flag under Alaric, logged, D8 item 7</t>
        </is>
      </c>
      <c r="F27" s="16" t="inlineStr">
        <is>
          <t>Yes</t>
        </is>
      </c>
      <c r="G27" s="17" t="n"/>
    </row>
  </sheetData>
  <autoFilter ref="A4:G27"/>
  <conditionalFormatting sqref="F5:F27">
    <cfRule type="cellIs" priority="1" operator="equal" dxfId="0">
      <formula>"Yes"</formula>
    </cfRule>
    <cfRule type="cellIs" priority="2" operator="equal" dxfId="1">
      <formula>"Discuss"</formula>
    </cfRule>
  </conditionalFormatting>
  <dataValidations count="1">
    <dataValidation sqref="F5:F27"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sheetData>
  <autoFilter ref="A4:E27"/>
  <conditionalFormatting sqref="D5:D27">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7"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confirm Ubuntu Server 26.04.1, kernel 7.0, both NVMe drives present, fTPM enabled (V2), and the GPU present and identified from lspci and /sys/class/drm. The rocminfo confirmation of gfx1151 belongs to the Phase 4 container self-test (V11), because ROCm is never installed on the host (3.4).</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reports ~170 GB),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5"/>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s>
  <sheetData>
    <row r="1">
      <c r="A1" s="1" t="inlineStr">
        <is>
          <t>Ref Hardware</t>
        </is>
      </c>
    </row>
    <row r="2">
      <c r="A2" s="2" t="inlineStr">
        <is>
          <t>Sections 2 and 4.1. The machine v0.2 is built for,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Linux LLM tooling is Windows-first. Zero design dependency</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Memory budget</t>
        </is>
      </c>
    </row>
    <row r="18">
      <c r="A18" s="10" t="inlineStr">
        <is>
          <t>Consumer</t>
        </is>
      </c>
      <c r="B18" s="10" t="inlineStr">
        <is>
          <t>Budget</t>
        </is>
      </c>
      <c r="C18" s="10" t="inlineStr">
        <is>
          <t>Notes</t>
        </is>
      </c>
    </row>
    <row r="19">
      <c r="A19" s="11" t="inlineStr">
        <is>
          <t>Ubuntu Server, XFCE, Docker, Cockpit</t>
        </is>
      </c>
      <c r="B19" s="11" t="inlineStr">
        <is>
          <t>4 GB</t>
        </is>
      </c>
      <c r="C19" s="11" t="inlineStr">
        <is>
          <t>XFCE adds roughly 0.5 GB over the headless figure in v0.1</t>
        </is>
      </c>
    </row>
    <row r="20">
      <c r="A20" s="11" t="inlineStr">
        <is>
          <t>Open WebUI, ChromaDB, graph store, embedding model</t>
        </is>
      </c>
      <c r="B20" s="11" t="inlineStr">
        <is>
          <t>4 GB</t>
        </is>
      </c>
      <c r="C20" s="11" t="inlineStr"/>
    </row>
    <row r="21">
      <c r="A21" s="11" t="inlineStr">
        <is>
          <t>Eleanor's resident router model, 4B class</t>
        </is>
      </c>
      <c r="B21" s="11" t="inlineStr">
        <is>
          <t>4 GB</t>
        </is>
      </c>
      <c r="C21" s="11" t="inlineStr">
        <is>
          <t>Always loaded</t>
        </is>
      </c>
    </row>
    <row r="22">
      <c r="A22" s="11" t="inlineStr">
        <is>
          <t>Kokoro, Whisper Large-v3-Turbo, PyAnnote</t>
        </is>
      </c>
      <c r="B22" s="11" t="inlineStr">
        <is>
          <t>3 GB</t>
        </is>
      </c>
      <c r="C22" s="11" t="inlineStr">
        <is>
          <t>Always loaded</t>
        </is>
      </c>
    </row>
    <row r="23">
      <c r="A23" s="11" t="inlineStr">
        <is>
          <t>Orchestrator, Celery workers, Redis, Sentinel, ntfy, WG-Easy</t>
        </is>
      </c>
      <c r="B23" s="11" t="inlineStr">
        <is>
          <t>1–2 GB</t>
        </is>
      </c>
      <c r="C23" s="11" t="inlineStr"/>
    </row>
    <row r="24">
      <c r="A24" s="11" t="inlineStr">
        <is>
          <t>Always-resident subtotal</t>
        </is>
      </c>
      <c r="B24" s="11" t="inlineStr">
        <is>
          <t>~17 GB</t>
        </is>
      </c>
      <c r="C24" s="11" t="inlineStr"/>
    </row>
    <row r="25">
      <c r="A25" s="11" t="inlineStr">
        <is>
          <t>Usable for engines</t>
        </is>
      </c>
      <c r="B25" s="11" t="inlineStr">
        <is>
          <t>~170 GB</t>
        </is>
      </c>
      <c r="C25" s="11" t="inlineStr">
        <is>
          <t>GTT pool (~180 GB) minus the resident set above. Every figure in the table below is measured against this 170 GB, not against the raw 192 GB. VERIFY V3 on first boot before anything depends on it</t>
        </is>
      </c>
    </row>
    <row r="27">
      <c r="A27" s="3" t="inlineStr">
        <is>
          <t>What fits together</t>
        </is>
      </c>
    </row>
    <row r="28">
      <c r="A28" s="10" t="inlineStr">
        <is>
          <t>Combination</t>
        </is>
      </c>
      <c r="B28" s="10" t="inlineStr">
        <is>
          <t>Total</t>
        </is>
      </c>
      <c r="C28" s="10" t="inlineStr">
        <is>
          <t>Verdict</t>
        </is>
      </c>
    </row>
    <row r="29">
      <c r="A29" s="11" t="inlineStr">
        <is>
          <t>gpt-oss-120b + Qwen2.5-VL-72B, both resident</t>
        </is>
      </c>
      <c r="B29" s="11" t="inlineStr">
        <is>
          <t>142 GB</t>
        </is>
      </c>
      <c r="C29" s="11" t="inlineStr">
        <is>
          <t>~28 GB for both caches. The everyday pairing: text and vision with no swap between them. The vision engine runs at 2 slots rather than 8 while co-resident (Section 4.3)</t>
        </is>
      </c>
    </row>
    <row r="30">
      <c r="A30" s="11" t="inlineStr">
        <is>
          <t>gpt-oss-120b + gpt-oss-120b abliterated</t>
        </is>
      </c>
      <c r="B30" s="11" t="inlineStr">
        <is>
          <t>126 GB</t>
        </is>
      </c>
      <c r="C30" s="11" t="inlineStr">
        <is>
          <t>~44 GB for both caches</t>
        </is>
      </c>
    </row>
    <row r="31">
      <c r="A31" s="11" t="inlineStr">
        <is>
          <t>Nemotron Q8_0 alone</t>
        </is>
      </c>
      <c r="B31" s="11" t="inlineStr">
        <is>
          <t>120–123 GB</t>
        </is>
      </c>
      <c r="C31" s="11" t="inlineStr">
        <is>
          <t>Comfortable, ~47 GB for cache</t>
        </is>
      </c>
    </row>
    <row r="32">
      <c r="A32" s="11" t="inlineStr">
        <is>
          <t>Qwen3.5-122B Q8_0 alone</t>
        </is>
      </c>
      <c r="B32" s="11" t="inlineStr">
        <is>
          <t>130 GB</t>
        </is>
      </c>
      <c r="C32" s="11" t="inlineStr">
        <is>
          <t>Comfortable, ~40 GB for cache</t>
        </is>
      </c>
    </row>
    <row r="33">
      <c r="A33" s="11" t="inlineStr">
        <is>
          <t>Nemotron Q8_0 + gpt-oss-120b, Ren and Arthur together</t>
        </is>
      </c>
      <c r="B33" s="11" t="inlineStr">
        <is>
          <t>186 GB</t>
        </is>
      </c>
      <c r="C33" s="11" t="inlineStr">
        <is>
          <t>Does not fit. Accepted by the Principal: hemispheres swap rather than co-reside. Nemotron at Q6_K (~95 GB) would restore it if ever wanted</t>
        </is>
      </c>
    </row>
    <row r="34">
      <c r="A34" s="11" t="inlineStr">
        <is>
          <t>DeepSeek V4 Flash UD-Q4_K_XL</t>
        </is>
      </c>
      <c r="B34" s="11" t="inlineStr">
        <is>
          <t>155 GB</t>
        </is>
      </c>
      <c r="C34" s="11" t="inlineStr">
        <is>
          <t>Runs alone. The Arbiter unloads any co-resident engine first. ~10–15 GB margin, so its context is capped accordingly</t>
        </is>
      </c>
    </row>
    <row r="35">
      <c r="A35"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2026-10-05T11:02:55Z</dcterms:created>
  <dcterms:modified xsi:type="dcterms:W3CDTF">2026-10-05T11:02:55Z</dcterms:modified>
</cp:coreProperties>
</file>