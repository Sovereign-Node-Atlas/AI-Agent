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Resolutions'!$A$4:$E$30</definedName>
    <definedName name="_xlnm._FilterDatabase" localSheetId="3" hidden="1">'3 Risks'!$A$4:$G$27</definedName>
    <definedName name="_xlnm._FilterDatabase" localSheetId="4" hidden="1">'4 Verification'!$A$4:$E$27</definedName>
    <definedName name="_xlnm._FilterDatabase" localSheetId="5" hidden="1">'5 Checklist'!$A$4:$E$26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v0.3.2 (2026-10-04). The Day 1 scripts are delivered under scripts/day1; this workbook carries what the Principal must still answer before running them. Nothing has been executed.</t>
        </is>
      </c>
    </row>
    <row r="4">
      <c r="A4" s="3" t="inlineStr">
        <is>
          <t>How to use this workbook</t>
        </is>
      </c>
    </row>
    <row r="5">
      <c r="A5" s="4" t="inlineStr">
        <is>
          <t>1. Sheets 1, 2 and 3 are a record of your answers of 2026-09-21, with three new rows that need you: D15 on sheet 1 (Secure Boot and the TPM binding), R22 and R23 on sheet 3. Sheet 5 has the pre-execution rows new in v0.3.1 and v0.3.2.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D15, R22, R23 and the blank sheet 5 rows.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Risks'!$A$5:$A$27)</f>
        <v/>
      </c>
      <c r="C23" s="12">
        <f>B23-G23</f>
        <v/>
      </c>
      <c r="D23" s="12">
        <f>COUNTIF('3 Risks'!$F$5:$F$27,"Yes")</f>
        <v/>
      </c>
      <c r="E23" s="12">
        <f>0</f>
        <v/>
      </c>
      <c r="F23" s="12">
        <f>COUNTIF('3 Risks'!$F$5:$F$27,"Discuss")</f>
        <v/>
      </c>
      <c r="G23" s="12">
        <f>COUNTBLANK('3 Risks'!$F$5:$F$27)</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Checklist'!$A$5:$A$26)</f>
        <v/>
      </c>
      <c r="C25" s="12">
        <f>B25-G25</f>
        <v/>
      </c>
      <c r="D25" s="12">
        <f>COUNTIF('5 Checklist'!$D$5:$D$26,"Yes")+COUNTIF('5 Checklist'!$D$5:$D$26,"N/A")</f>
        <v/>
      </c>
      <c r="E25" s="12">
        <f>0</f>
        <v/>
      </c>
      <c r="F25" s="12">
        <f>COUNTIF('5 Checklist'!$D$5:$D$26,"No")</f>
        <v/>
      </c>
      <c r="G25" s="12">
        <f>COUNTBLANK('5 Checklist'!$D$5:$D$26)</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Fourteen are closed; D15 (Secure Boot and the TPM binding) is open and needs your answer in the response column, with the option letter in the next column.</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OPEN. D2 disables Secure Boot; S9 binds the TPM2 unlock to PCR 7. With Secure Boot off, PCR 7 is the same for any boot medium, so the data volume unseals for any OS booted on this hardware: the encryption then protects against disk removal, not theft of the whole node. Pre-flight stops until the Principal chooses. Options: (a) enable Secure Boot in the BIOS and keep PCR 7 — reverses D2, but this stack has no out-of-tree kernel modules (amdgpu and WireGuard are in-tree, Docker needs none), so the module-signing friction D2 feared does not arise, and no script change is needed; (b) keep Secure Boot off and bind PCRs 0+4+7 (firmware and boot-loader measurements), which also defeats foreign boot media, at the cost of a re-enrolment with the recovery key after a firmware or GRUB update — a one-line change to the Phase 1 script; (c) keep Secure Boot off and accept the weaker binding by writing ATLAS_ACCEPT_PCR7_NO_SB=1 in /etc/atlas/atlas.env, recorded on every V2 row</t>
        </is>
      </c>
      <c r="D19" s="11" t="inlineStr">
        <is>
          <t>Recommendation: (a). Awaiting the Principal; the workbook carries the row</t>
        </is>
      </c>
      <c r="E19" s="16" t="n"/>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All twenty-six resolutions accepted in the workbook returned 2026-09-21.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are new in v0.3.2 and blank.</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Decision D15; until it is made, Phase 1 pre-flight refuses to enrol. New in v0.3.2</t>
        </is>
      </c>
      <c r="F18" s="16" t="n"/>
      <c r="G18" s="17" t="n"/>
    </row>
    <row r="19">
      <c r="A19" s="12" t="inlineStr">
        <is>
          <t>R10</t>
        </is>
      </c>
      <c r="B19" s="11" t="inlineStr">
        <is>
          <t>Sustained thermal load in a small chassis</t>
        </is>
      </c>
      <c r="C19" s="11" t="inlineStr">
        <is>
          <t>Medium</t>
        </is>
      </c>
      <c r="D19" s="11" t="inlineStr">
        <is>
          <t>Low</t>
        </is>
      </c>
      <c r="E19" s="11" t="inlineStr">
        <is>
          <t>Monitor temperatures in Cockpit; the chip's configurable ceiling is 120 W and the Principal is adding external cooling</t>
        </is>
      </c>
      <c r="F19" s="16" t="inlineStr">
        <is>
          <t>Yes</t>
        </is>
      </c>
      <c r="G19" s="17" t="n"/>
    </row>
    <row r="20">
      <c r="A20" s="12" t="inlineStr">
        <is>
          <t>R11</t>
        </is>
      </c>
      <c r="B20" s="11" t="inlineStr">
        <is>
          <t>CGNAT prevents inbound WireGuard</t>
        </is>
      </c>
      <c r="C20" s="11" t="inlineStr">
        <is>
          <t>Low, port forward already succeeded</t>
        </is>
      </c>
      <c r="D20" s="11" t="inlineStr">
        <is>
          <t>High for remote access</t>
        </is>
      </c>
      <c r="E20" s="11" t="inlineStr">
        <is>
          <t>V5 from mobile data, static IP from the ISP if needed</t>
        </is>
      </c>
      <c r="F20" s="16" t="inlineStr">
        <is>
          <t>Yes</t>
        </is>
      </c>
      <c r="G20" s="17" t="n"/>
    </row>
    <row r="21">
      <c r="A21" s="12" t="inlineStr">
        <is>
          <t>R12</t>
        </is>
      </c>
      <c r="B21" s="11" t="inlineStr">
        <is>
          <t>Fictitious directors corresponding as humans, AI non-disclosure</t>
        </is>
      </c>
      <c r="C21" s="11" t="inlineStr">
        <is>
          <t>Medium</t>
        </is>
      </c>
      <c r="D21" s="11" t="inlineStr">
        <is>
          <t>Medium to high, legal</t>
        </is>
      </c>
      <c r="E21" s="11" t="inlineStr">
        <is>
          <t>Gideon's sensitive-tier check, approval gate, 16.5</t>
        </is>
      </c>
      <c r="F21" s="16" t="inlineStr">
        <is>
          <t>Yes</t>
        </is>
      </c>
      <c r="G21" s="17" t="n"/>
    </row>
    <row r="22">
      <c r="A22" s="12" t="inlineStr">
        <is>
          <t>R13</t>
        </is>
      </c>
      <c r="B22" s="11" t="inlineStr">
        <is>
          <t>Abliterated engine used for external output</t>
        </is>
      </c>
      <c r="C22" s="11" t="inlineStr">
        <is>
          <t>Medium</t>
        </is>
      </c>
      <c r="D22" s="11" t="inlineStr">
        <is>
          <t>Medium</t>
        </is>
      </c>
      <c r="E22" s="11" t="inlineStr">
        <is>
          <t>Abliterated output always passes the same gate, never routine tier</t>
        </is>
      </c>
      <c r="F22" s="16" t="inlineStr">
        <is>
          <t>Yes</t>
        </is>
      </c>
      <c r="G22" s="17" t="n"/>
    </row>
    <row r="23">
      <c r="A23" s="12" t="inlineStr">
        <is>
          <t>R14</t>
        </is>
      </c>
      <c r="B23" s="11" t="inlineStr">
        <is>
          <t>Chatterbox continuation quirk in production speech</t>
        </is>
      </c>
      <c r="C23" s="11" t="inlineStr">
        <is>
          <t>Medium</t>
        </is>
      </c>
      <c r="D23" s="11" t="inlineStr">
        <is>
          <t>Low</t>
        </is>
      </c>
      <c r="E23" s="11" t="inlineStr">
        <is>
          <t>V7 testing, Kokoro fallback per line</t>
        </is>
      </c>
      <c r="F23" s="16" t="inlineStr">
        <is>
          <t>Yes</t>
        </is>
      </c>
      <c r="G23" s="17" t="n"/>
    </row>
    <row r="24">
      <c r="A24" s="12" t="inlineStr">
        <is>
          <t>R15</t>
        </is>
      </c>
      <c r="B24" s="11" t="inlineStr">
        <is>
          <t>Prompt bloat from domain injection makes every dispatch slow</t>
        </is>
      </c>
      <c r="C24" s="11" t="inlineStr">
        <is>
          <t>High without limits</t>
        </is>
      </c>
      <c r="D24" s="11" t="inlineStr">
        <is>
          <t>High, usability</t>
        </is>
      </c>
      <c r="E24" s="11" t="inlineStr">
        <is>
          <t>Three-card limit, compact cards, stable-prefix ordering (8.4, 4.4)</t>
        </is>
      </c>
      <c r="F24" s="16" t="inlineStr">
        <is>
          <t>Yes</t>
        </is>
      </c>
      <c r="G24" s="17" t="n"/>
    </row>
    <row r="25">
      <c r="A25" s="12" t="inlineStr">
        <is>
          <t>R16</t>
        </is>
      </c>
      <c r="B25" s="11" t="inlineStr">
        <is>
          <t>Backup passphrase or LUKS key lost with the node</t>
        </is>
      </c>
      <c r="C25" s="11" t="inlineStr">
        <is>
          <t>Low</t>
        </is>
      </c>
      <c r="D25" s="11" t="inlineStr">
        <is>
          <t>Catastrophic</t>
        </is>
      </c>
      <c r="E2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5" s="16" t="inlineStr">
        <is>
          <t>Yes</t>
        </is>
      </c>
      <c r="G25" s="17" t="n"/>
    </row>
    <row r="26">
      <c r="A26" s="12" t="inlineStr">
        <is>
          <t>R17</t>
        </is>
      </c>
      <c r="B26" s="11" t="inlineStr">
        <is>
          <t>PyAnnote gated model not accepted, diarisation silently absent</t>
        </is>
      </c>
      <c r="C26" s="11" t="inlineStr">
        <is>
          <t>Medium</t>
        </is>
      </c>
      <c r="D26" s="11" t="inlineStr">
        <is>
          <t>Low</t>
        </is>
      </c>
      <c r="E26" s="11" t="inlineStr">
        <is>
          <t>V6</t>
        </is>
      </c>
      <c r="F26" s="16" t="inlineStr">
        <is>
          <t>Yes</t>
        </is>
      </c>
      <c r="G26" s="17" t="n"/>
    </row>
    <row r="27">
      <c r="A27" s="12" t="inlineStr">
        <is>
          <t>R18</t>
        </is>
      </c>
      <c r="B27" s="11" t="inlineStr">
        <is>
          <t>Continuous vision enabled by drift rather than decision</t>
        </is>
      </c>
      <c r="C27" s="11" t="inlineStr">
        <is>
          <t>Low</t>
        </is>
      </c>
      <c r="D27" s="11" t="inlineStr">
        <is>
          <t>High, privacy</t>
        </is>
      </c>
      <c r="E27" s="11" t="inlineStr">
        <is>
          <t>Separate capability flag under Alaric, logged, D8 item 7</t>
        </is>
      </c>
      <c r="F27" s="16" t="inlineStr">
        <is>
          <t>Yes</t>
        </is>
      </c>
      <c r="G27" s="17" t="n"/>
    </row>
  </sheetData>
  <autoFilter ref="A4:G27"/>
  <conditionalFormatting sqref="F5:F27">
    <cfRule type="cellIs" priority="1" operator="equal" dxfId="0">
      <formula>"Yes"</formula>
    </cfRule>
    <cfRule type="cellIs" priority="2" operator="equal" dxfId="1">
      <formula>"Discuss"</formula>
    </cfRule>
  </conditionalFormatting>
  <dataValidations count="1">
    <dataValidation sqref="F5:F2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new in v0.3.1 and v0.3.2 are blank.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v0.3.2: your SSH public key in ~/.ssh/authorized_keys on the node before Phase 1 (step 4 turns password login off; pre-flight stops if the file is missing).</t>
        </is>
      </c>
      <c r="D9" s="16" t="n"/>
      <c r="E9" s="17" t="n"/>
    </row>
    <row r="10">
      <c r="A10" s="12" t="n">
        <v>6</v>
      </c>
      <c r="B10" s="11" t="inlineStr">
        <is>
          <t>Principal's actions — what is genuinely left</t>
        </is>
      </c>
      <c r="C10" s="11" t="inlineStr">
        <is>
          <t>New in v0.3.2: fill the CONFIRM keys in /etc/atlas/atlas.env when the first run installs it: GOOGLE_ACCOUNTS (two addresses, each tagged corporate or estate), WINDOWS_SHARE (//host/share), FAMILY_NAMES (for the router's hard rule), BUILDFARM_ACCEPT_ANDROID_SDK_LICENCE (Google's Android SDK licence, needed by the build container), and ATLAS_ACCEPT_PCR7_NO_SB only if D15 is decided as option (c). The first run prints every blank key with an example value and stops.</t>
        </is>
      </c>
      <c r="D10" s="16" t="n"/>
      <c r="E10" s="17" t="n"/>
    </row>
    <row r="11">
      <c r="A11" s="12" t="n">
        <v>7</v>
      </c>
      <c r="B11" s="11" t="inlineStr">
        <is>
          <t>Principal's actions — what is genuinely left</t>
        </is>
      </c>
      <c r="C11" s="11" t="inlineStr">
        <is>
          <t>New in v0.3.2: /etc/atlas/secrets/smb.cred (root, mode 600; username=, password=, domain= lines) for the Windows share account; Phase 2 checks it at minute 0 and prints the command that creates it without the password touching a command line.</t>
        </is>
      </c>
      <c r="D11" s="16" t="n"/>
      <c r="E11" s="17" t="n"/>
    </row>
    <row r="12">
      <c r="A12" s="12" t="n">
        <v>8</v>
      </c>
      <c r="B12" s="11" t="inlineStr">
        <is>
          <t>Principal's actions — what is genuinely left</t>
        </is>
      </c>
      <c r="C12" s="11" t="inlineStr">
        <is>
          <t>New in v0.3.2: decide D15 (Secure Boot and the TPM binding) before Phase 1 step 2.</t>
        </is>
      </c>
      <c r="D12" s="16" t="n"/>
      <c r="E12" s="17" t="n"/>
    </row>
    <row r="13">
      <c r="A13" s="12" t="n">
        <v>9</v>
      </c>
      <c r="B13" s="11" t="inlineStr">
        <is>
          <t>Principal's actions — what is genuinely left</t>
        </is>
      </c>
      <c r="C13"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3" s="16" t="inlineStr">
        <is>
          <t>Yes</t>
        </is>
      </c>
      <c r="E13" s="17" t="n"/>
    </row>
    <row r="14">
      <c r="A14" s="12" t="n">
        <v>10</v>
      </c>
      <c r="B14" s="11" t="inlineStr">
        <is>
          <t>Principal's actions — what is genuinely left</t>
        </is>
      </c>
      <c r="C14" s="11" t="inlineStr">
        <is>
          <t>New in v0.3.1: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and stores it under /etc/atlas/secrets/; a 403 during a pull names the licence page to visit.</t>
        </is>
      </c>
      <c r="D14" s="16" t="n"/>
      <c r="E14" s="17" t="n"/>
    </row>
    <row r="15">
      <c r="A15" s="12" t="n">
        <v>11</v>
      </c>
      <c r="B15" s="11" t="inlineStr">
        <is>
          <t>Principal's actions — what is genuinely left</t>
        </is>
      </c>
      <c r="C15" s="11" t="inlineStr">
        <is>
          <t>New in v0.3.1: have the Cloudflare zone id for sovereign-node.link to hand (Overview page of the zone). A Zone:DNS:Edit-only token cannot look the zone up by name; Phase 1 step 7 asks for the id once if the token cannot list zones.</t>
        </is>
      </c>
      <c r="D15" s="16" t="n"/>
      <c r="E15" s="17" t="n"/>
    </row>
    <row r="16">
      <c r="A16" s="12" t="n">
        <v>12</v>
      </c>
      <c r="B16" s="11" t="inlineStr">
        <is>
          <t>Principal's actions — what is genuinely left</t>
        </is>
      </c>
      <c r="C16"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6" s="16" t="inlineStr">
        <is>
          <t>Yes</t>
        </is>
      </c>
      <c r="E16" s="17" t="n"/>
    </row>
    <row r="17">
      <c r="A17" s="12" t="n">
        <v>13</v>
      </c>
      <c r="B17" s="11" t="inlineStr">
        <is>
          <t>Principal's actions — what is genuinely left</t>
        </is>
      </c>
      <c r="C17" s="11" t="inlineStr">
        <is>
          <t>Have a monitor and keyboard available for Phase 1 only, in case first boot needs a hand. Done.</t>
        </is>
      </c>
      <c r="D17" s="16" t="inlineStr">
        <is>
          <t>Yes</t>
        </is>
      </c>
      <c r="E17" s="17" t="n"/>
    </row>
    <row r="18">
      <c r="A18" s="12" t="n">
        <v>14</v>
      </c>
      <c r="B18" s="11" t="inlineStr">
        <is>
          <t>Automated on the Principal's instruction, no action needed</t>
        </is>
      </c>
      <c r="C18" s="11" t="inlineStr">
        <is>
          <t>Cloudflare token relocation and deletion of CLOUDFLARE.txt: Phase 2 step 6b (V23).</t>
        </is>
      </c>
      <c r="D18" s="16" t="inlineStr">
        <is>
          <t>Yes</t>
        </is>
      </c>
      <c r="E18" s="17" t="n"/>
    </row>
    <row r="19">
      <c r="A19" s="12" t="n">
        <v>15</v>
      </c>
      <c r="B19" s="11" t="inlineStr">
        <is>
          <t>Automated on the Principal's instruction, no action needed</t>
        </is>
      </c>
      <c r="C19" s="11" t="inlineStr">
        <is>
          <t>Director aliases generated from names rather than confirmed one by one (D14).</t>
        </is>
      </c>
      <c r="D19" s="16" t="inlineStr">
        <is>
          <t>Yes</t>
        </is>
      </c>
      <c r="E19" s="17" t="n"/>
    </row>
    <row r="20">
      <c r="A20" s="12" t="n">
        <v>16</v>
      </c>
      <c r="B20" s="11" t="inlineStr">
        <is>
          <t>Build-side preconditions</t>
        </is>
      </c>
      <c r="C20" s="11" t="inlineStr">
        <is>
          <t>Ubuntu Server 26.04.1 installed on the 4 TB drive with the installer's encrypted-LVM (LUKS) option (Section 3.5 requires both volumes encrypted; pre-flight stops on an unencrypted OS volume); 8 TB drive unpartitioned. Done per the returned workbook; confirm the encryption option was taken.</t>
        </is>
      </c>
      <c r="D20" s="16" t="inlineStr">
        <is>
          <t>Yes</t>
        </is>
      </c>
      <c r="E20" s="17" t="n"/>
    </row>
    <row r="21">
      <c r="A21" s="12" t="n">
        <v>17</v>
      </c>
      <c r="B21" s="11" t="inlineStr">
        <is>
          <t>Build-side preconditions</t>
        </is>
      </c>
      <c r="C21" s="11" t="inlineStr">
        <is>
          <t>BIOS: UMA minimum, IOMMU on, fTPM on, Secure Boot disabled (D2). Done.</t>
        </is>
      </c>
      <c r="D21" s="16" t="inlineStr">
        <is>
          <t>Yes</t>
        </is>
      </c>
      <c r="E21" s="17" t="n"/>
    </row>
    <row r="22">
      <c r="A22" s="12" t="n">
        <v>18</v>
      </c>
      <c r="B22" s="11" t="inlineStr">
        <is>
          <t>Build-side preconditions</t>
        </is>
      </c>
      <c r="C22" s="11" t="inlineStr">
        <is>
          <t>LAN address reserved for the node on the router, over Wi-Fi; UDP 51820 forward confirmed to that address. Done.</t>
        </is>
      </c>
      <c r="D22" s="16" t="inlineStr">
        <is>
          <t>Yes</t>
        </is>
      </c>
      <c r="E22" s="17" t="n"/>
    </row>
    <row r="23">
      <c r="A23" s="12" t="n">
        <v>19</v>
      </c>
      <c r="B23" s="11" t="inlineStr">
        <is>
          <t>Build-side preconditions</t>
        </is>
      </c>
      <c r="C23" s="11" t="inlineStr">
        <is>
          <t>Internet bandwidth known, so the ~690 GB Phase 3 download can be planned. Done; the figure was not recorded in the workbook, so the 100 Mbps planning assumption in 15.4 stands until stated.</t>
        </is>
      </c>
      <c r="D23" s="16" t="inlineStr">
        <is>
          <t>Yes</t>
        </is>
      </c>
      <c r="E23" s="17" t="n"/>
    </row>
    <row r="24">
      <c r="A24" s="12" t="n">
        <v>20</v>
      </c>
      <c r="B24" s="11" t="inlineStr">
        <is>
          <t>Accepted resolutions</t>
        </is>
      </c>
      <c r="C24" s="11" t="inlineStr">
        <is>
          <t>C1 through C20 accepted in the returned workbook. C19 was reopened and re-decided in the Principal's favour.</t>
        </is>
      </c>
      <c r="D24" s="16" t="inlineStr">
        <is>
          <t>Yes</t>
        </is>
      </c>
      <c r="E24" s="17" t="n"/>
    </row>
    <row r="25">
      <c r="A25" s="12" t="n">
        <v>21</v>
      </c>
      <c r="B25" s="11" t="inlineStr">
        <is>
          <t>Accepted resolutions</t>
        </is>
      </c>
      <c r="C25" s="11" t="inlineStr">
        <is>
          <t>C21 through C26, new in v0.2, accepted in the returned workbook: the Ubuntu and amd64v3 rejections, the quantisation rise, the closed reserve list, the vision consolidation, and the residency-versus-generation reading.</t>
        </is>
      </c>
      <c r="D25" s="16" t="inlineStr">
        <is>
          <t>Yes</t>
        </is>
      </c>
      <c r="E25" s="17" t="n"/>
    </row>
    <row r="26">
      <c r="A26" s="12" t="n">
        <v>22</v>
      </c>
      <c r="B26" s="11" t="inlineStr">
        <is>
          <t>Accepted resolutions</t>
        </is>
      </c>
      <c r="C26" s="11" t="inlineStr">
        <is>
          <t>R9, R16, R19, R20 and R21 acknowledged in the returned workbook: two changed wording in v0.2, three were new.</t>
        </is>
      </c>
      <c r="D26" s="16" t="inlineStr">
        <is>
          <t>Yes</t>
        </is>
      </c>
      <c r="E26" s="17" t="n"/>
    </row>
  </sheetData>
  <autoFilter ref="A4:E26"/>
  <conditionalFormatting sqref="D5:D26">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6"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2026-10-04T16:01:44Z</dcterms:created>
  <dcterms:modified xsi:type="dcterms:W3CDTF">2026-10-04T16:01:44Z</dcterms:modified>
</cp:coreProperties>
</file>