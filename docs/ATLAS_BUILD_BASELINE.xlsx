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Decisions'!$A$4:$F$18</definedName>
    <definedName name="_xlnm._FilterDatabase" localSheetId="2" hidden="1">'2 Resolutions'!$A$4:$E$30</definedName>
    <definedName name="_xlnm._FilterDatabase" localSheetId="3" hidden="1">'3 Risks'!$A$4:$G$25</definedName>
    <definedName name="_xlnm._FilterDatabase" localSheetId="4" hidden="1">'4 Verification'!$A$4:$E$27</definedName>
    <definedName name="_xlnm._FilterDatabase" localSheetId="5" hidden="1">'5 Checklist'!$A$4:$E$22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v0.3.1 (2026-09-27). Closed baseline with the Day 1 script corrections of Section 23 folded in. Nothing has been executed; the scripts under scripts/day1 are written against this.</t>
        </is>
      </c>
    </row>
    <row r="4">
      <c r="A4" s="3" t="inlineStr">
        <is>
          <t>How to use this workbook</t>
        </is>
      </c>
    </row>
    <row r="5">
      <c r="A5" s="4" t="inlineStr">
        <is>
          <t>1. Sheets 1, 2 and 3 are a closed record: every decision, resolution and risk as you answered it on 2026-09-21. Sheet 5 has two new rows from v0.3.1 that need you (the Hugging Face token and licence acceptances; the Cloudflare zone id).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the two new sheet 5 rows.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Decisions'!$A$5:$A$18)</f>
        <v/>
      </c>
      <c r="C21" s="12">
        <f>B21-G21</f>
        <v/>
      </c>
      <c r="D21" s="12">
        <f>COUNTIF('1 Decisions'!$E$5:$E$18,"Confirmed")</f>
        <v/>
      </c>
      <c r="E21" s="12">
        <f>0</f>
        <v/>
      </c>
      <c r="F21" s="12">
        <f>COUNTIF('1 Decisions'!$E$5:$E$18,"Changed my mind")</f>
        <v/>
      </c>
      <c r="G21" s="12">
        <f>COUNTBLANK('1 Decisions'!$E$5:$E$18)</f>
        <v/>
      </c>
    </row>
    <row r="22">
      <c r="A22" s="11" t="inlineStr">
        <is>
          <t>2 Resolutions</t>
        </is>
      </c>
      <c r="B22" s="12">
        <f>COUNTA('2 Resolutions'!$A$5:$A$30)</f>
        <v/>
      </c>
      <c r="C22" s="12">
        <f>B22-G22</f>
        <v/>
      </c>
      <c r="D22" s="12">
        <f>COUNTIF('2 Resolutions'!$D$5:$D$30,"Accept")</f>
        <v/>
      </c>
      <c r="E22" s="12">
        <f>0</f>
        <v/>
      </c>
      <c r="F22" s="12">
        <f>COUNTIF('2 Resolutions'!$D$5:$D$30,"Disagree - return to decisions")</f>
        <v/>
      </c>
      <c r="G22" s="12">
        <f>COUNTBLANK('2 Resolutions'!$D$5:$D$30)</f>
        <v/>
      </c>
    </row>
    <row r="23">
      <c r="A23" s="11" t="inlineStr">
        <is>
          <t>3 Risks</t>
        </is>
      </c>
      <c r="B23" s="12">
        <f>COUNTA('3 Risks'!$A$5:$A$25)</f>
        <v/>
      </c>
      <c r="C23" s="12">
        <f>B23-G23</f>
        <v/>
      </c>
      <c r="D23" s="12">
        <f>COUNTIF('3 Risks'!$F$5:$F$25,"Yes")</f>
        <v/>
      </c>
      <c r="E23" s="12">
        <f>0</f>
        <v/>
      </c>
      <c r="F23" s="12">
        <f>COUNTIF('3 Risks'!$F$5:$F$25,"Discuss")</f>
        <v/>
      </c>
      <c r="G23" s="12">
        <f>COUNTBLANK('3 Risks'!$F$5:$F$25)</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Checklist'!$A$5:$A$22)</f>
        <v/>
      </c>
      <c r="C25" s="12">
        <f>B25-G25</f>
        <v/>
      </c>
      <c r="D25" s="12">
        <f>COUNTIF('5 Checklist'!$D$5:$D$22,"Yes")+COUNTIF('5 Checklist'!$D$5:$D$22,"N/A")</f>
        <v/>
      </c>
      <c r="E25" s="12">
        <f>0</f>
        <v/>
      </c>
      <c r="F25" s="12">
        <f>COUNTIF('5 Checklist'!$D$5:$D$22,"No")</f>
        <v/>
      </c>
      <c r="G25" s="12">
        <f>COUNTBLANK('5 Checklist'!$D$5:$D$22)</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fourteen are closed. This sheet is a record: change a row only if you have changed your mind since the workbook was returned.</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sheetData>
  <autoFilter ref="A4:F18"/>
  <conditionalFormatting sqref="E5:E18">
    <cfRule type="cellIs" priority="1" operator="equal" dxfId="0">
      <formula>"Confirmed"</formula>
    </cfRule>
    <cfRule type="cellIs" priority="2" operator="equal" dxfId="1">
      <formula>"Changed my mind"</formula>
    </cfRule>
  </conditionalFormatting>
  <dataValidations count="1">
    <dataValidation sqref="E5:E18"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All twenty-six resolutions accepted in the workbook returned 2026-09-21.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sheetData>
  <autoFilter ref="A4:E30"/>
  <conditionalFormatting sqref="D5:D30">
    <cfRule type="cellIs" priority="1" operator="equal" dxfId="0">
      <formula>"Accept"</formula>
    </cfRule>
    <cfRule type="cellIs" priority="2" operator="equal" dxfId="1">
      <formula>"Disagree - return to decisions"</formula>
    </cfRule>
  </conditionalFormatting>
  <dataValidations count="1">
    <dataValidation sqref="D5:D30"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5"/>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All twenty-one risks acknowledged in the workbook returned 2026-09-21. Closed record; change a cell to Discuss only to reopen one.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R10</t>
        </is>
      </c>
      <c r="B17" s="11" t="inlineStr">
        <is>
          <t>Sustained thermal load in a small chassis</t>
        </is>
      </c>
      <c r="C17" s="11" t="inlineStr">
        <is>
          <t>Medium</t>
        </is>
      </c>
      <c r="D17" s="11" t="inlineStr">
        <is>
          <t>Low</t>
        </is>
      </c>
      <c r="E17" s="11" t="inlineStr">
        <is>
          <t>Monitor temperatures in Cockpit; the chip's configurable ceiling is 120 W and the Principal is adding external cooling</t>
        </is>
      </c>
      <c r="F17" s="16" t="inlineStr">
        <is>
          <t>Yes</t>
        </is>
      </c>
      <c r="G17" s="17" t="n"/>
    </row>
    <row r="18">
      <c r="A18" s="12" t="inlineStr">
        <is>
          <t>R11</t>
        </is>
      </c>
      <c r="B18" s="11" t="inlineStr">
        <is>
          <t>CGNAT prevents inbound WireGuard</t>
        </is>
      </c>
      <c r="C18" s="11" t="inlineStr">
        <is>
          <t>Low, port forward already succeeded</t>
        </is>
      </c>
      <c r="D18" s="11" t="inlineStr">
        <is>
          <t>High for remote access</t>
        </is>
      </c>
      <c r="E18" s="11" t="inlineStr">
        <is>
          <t>V5 from mobile data, static IP from the ISP if needed</t>
        </is>
      </c>
      <c r="F18" s="16" t="inlineStr">
        <is>
          <t>Yes</t>
        </is>
      </c>
      <c r="G18" s="17" t="n"/>
    </row>
    <row r="19">
      <c r="A19" s="12" t="inlineStr">
        <is>
          <t>R12</t>
        </is>
      </c>
      <c r="B19" s="11" t="inlineStr">
        <is>
          <t>Fictitious directors corresponding as humans, AI non-disclosure</t>
        </is>
      </c>
      <c r="C19" s="11" t="inlineStr">
        <is>
          <t>Medium</t>
        </is>
      </c>
      <c r="D19" s="11" t="inlineStr">
        <is>
          <t>Medium to high, legal</t>
        </is>
      </c>
      <c r="E19" s="11" t="inlineStr">
        <is>
          <t>Gideon's sensitive-tier check, approval gate, 16.5</t>
        </is>
      </c>
      <c r="F19" s="16" t="inlineStr">
        <is>
          <t>Yes</t>
        </is>
      </c>
      <c r="G19" s="17" t="n"/>
    </row>
    <row r="20">
      <c r="A20" s="12" t="inlineStr">
        <is>
          <t>R13</t>
        </is>
      </c>
      <c r="B20" s="11" t="inlineStr">
        <is>
          <t>Abliterated engine used for external output</t>
        </is>
      </c>
      <c r="C20" s="11" t="inlineStr">
        <is>
          <t>Medium</t>
        </is>
      </c>
      <c r="D20" s="11" t="inlineStr">
        <is>
          <t>Medium</t>
        </is>
      </c>
      <c r="E20" s="11" t="inlineStr">
        <is>
          <t>Abliterated output always passes the same gate, never routine tier</t>
        </is>
      </c>
      <c r="F20" s="16" t="inlineStr">
        <is>
          <t>Yes</t>
        </is>
      </c>
      <c r="G20" s="17" t="n"/>
    </row>
    <row r="21">
      <c r="A21" s="12" t="inlineStr">
        <is>
          <t>R14</t>
        </is>
      </c>
      <c r="B21" s="11" t="inlineStr">
        <is>
          <t>Chatterbox continuation quirk in production speech</t>
        </is>
      </c>
      <c r="C21" s="11" t="inlineStr">
        <is>
          <t>Medium</t>
        </is>
      </c>
      <c r="D21" s="11" t="inlineStr">
        <is>
          <t>Low</t>
        </is>
      </c>
      <c r="E21" s="11" t="inlineStr">
        <is>
          <t>V7 testing, Kokoro fallback per line</t>
        </is>
      </c>
      <c r="F21" s="16" t="inlineStr">
        <is>
          <t>Yes</t>
        </is>
      </c>
      <c r="G21" s="17" t="n"/>
    </row>
    <row r="22">
      <c r="A22" s="12" t="inlineStr">
        <is>
          <t>R15</t>
        </is>
      </c>
      <c r="B22" s="11" t="inlineStr">
        <is>
          <t>Prompt bloat from domain injection makes every dispatch slow</t>
        </is>
      </c>
      <c r="C22" s="11" t="inlineStr">
        <is>
          <t>High without limits</t>
        </is>
      </c>
      <c r="D22" s="11" t="inlineStr">
        <is>
          <t>High, usability</t>
        </is>
      </c>
      <c r="E22" s="11" t="inlineStr">
        <is>
          <t>Three-card limit, compact cards, stable-prefix ordering (8.4, 4.4)</t>
        </is>
      </c>
      <c r="F22" s="16" t="inlineStr">
        <is>
          <t>Yes</t>
        </is>
      </c>
      <c r="G22" s="17" t="n"/>
    </row>
    <row r="23">
      <c r="A23" s="12" t="inlineStr">
        <is>
          <t>R16</t>
        </is>
      </c>
      <c r="B23" s="11" t="inlineStr">
        <is>
          <t>Backup passphrase or LUKS key lost with the node</t>
        </is>
      </c>
      <c r="C23" s="11" t="inlineStr">
        <is>
          <t>Low</t>
        </is>
      </c>
      <c r="D23" s="11" t="inlineStr">
        <is>
          <t>Catastrophic</t>
        </is>
      </c>
      <c r="E23"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3" s="16" t="inlineStr">
        <is>
          <t>Yes</t>
        </is>
      </c>
      <c r="G23" s="17" t="n"/>
    </row>
    <row r="24">
      <c r="A24" s="12" t="inlineStr">
        <is>
          <t>R17</t>
        </is>
      </c>
      <c r="B24" s="11" t="inlineStr">
        <is>
          <t>PyAnnote gated model not accepted, diarisation silently absent</t>
        </is>
      </c>
      <c r="C24" s="11" t="inlineStr">
        <is>
          <t>Medium</t>
        </is>
      </c>
      <c r="D24" s="11" t="inlineStr">
        <is>
          <t>Low</t>
        </is>
      </c>
      <c r="E24" s="11" t="inlineStr">
        <is>
          <t>V6</t>
        </is>
      </c>
      <c r="F24" s="16" t="inlineStr">
        <is>
          <t>Yes</t>
        </is>
      </c>
      <c r="G24" s="17" t="n"/>
    </row>
    <row r="25">
      <c r="A25" s="12" t="inlineStr">
        <is>
          <t>R18</t>
        </is>
      </c>
      <c r="B25" s="11" t="inlineStr">
        <is>
          <t>Continuous vision enabled by drift rather than decision</t>
        </is>
      </c>
      <c r="C25" s="11" t="inlineStr">
        <is>
          <t>Low</t>
        </is>
      </c>
      <c r="D25" s="11" t="inlineStr">
        <is>
          <t>High, privacy</t>
        </is>
      </c>
      <c r="E25" s="11" t="inlineStr">
        <is>
          <t>Separate capability flag under Alaric, logged, D8 item 7</t>
        </is>
      </c>
      <c r="F25" s="16" t="inlineStr">
        <is>
          <t>Yes</t>
        </is>
      </c>
      <c r="G25" s="17" t="n"/>
    </row>
  </sheetData>
  <autoFilter ref="A4:G25"/>
  <conditionalFormatting sqref="F5:F25">
    <cfRule type="cellIs" priority="1" operator="equal" dxfId="0">
      <formula>"Yes"</formula>
    </cfRule>
    <cfRule type="cellIs" priority="2" operator="equal" dxfId="1">
      <formula>"Discuss"</formula>
    </cfRule>
  </conditionalFormatting>
  <dataValidations count="1">
    <dataValidation sqref="F5:F25"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Every original row was ticked in the workbook returned 2026-09-21; two rows are new in v0.3.1 and blank. Nothing runs until every row reads Yes or N/A.</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Store the USB recovery drive away from the node, not beside it (R16). Done.</t>
        </is>
      </c>
      <c r="D8" s="16" t="inlineStr">
        <is>
          <t>Yes</t>
        </is>
      </c>
      <c r="E8" s="17" t="n"/>
    </row>
    <row r="9">
      <c r="A9" s="12" t="n">
        <v>5</v>
      </c>
      <c r="B9" s="11" t="inlineStr">
        <is>
          <t>Principal's actions — what is genuinely left</t>
        </is>
      </c>
      <c r="C9" s="11" t="inlineStr">
        <is>
          <t>Create the Google Cloud OAuth client for Gmail, Calendar and Drive, and be reachable for roughly five minutes during the Phase 2 pause (V20). Client created. The consent click itself still happens during Phase 2; Google requires the account owner to click Allow. Drop the client JSON into /srv/atlas/staging/inbox/google-oauth-client.json once Phase 1 has created that folder.</t>
        </is>
      </c>
      <c r="D9" s="16" t="inlineStr">
        <is>
          <t>Yes</t>
        </is>
      </c>
      <c r="E9" s="17" t="n"/>
    </row>
    <row r="10">
      <c r="A10" s="12" t="n">
        <v>6</v>
      </c>
      <c r="B10" s="11" t="inlineStr">
        <is>
          <t>Principal's actions — what is genuinely left</t>
        </is>
      </c>
      <c r="C10" s="11" t="inlineStr">
        <is>
          <t>New in v0.3.1: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and stores it under /etc/atlas/secrets/; a 403 during a pull names the licence page to visit.</t>
        </is>
      </c>
      <c r="D10" s="16" t="n"/>
      <c r="E10" s="17" t="n"/>
    </row>
    <row r="11">
      <c r="A11" s="12" t="n">
        <v>7</v>
      </c>
      <c r="B11" s="11" t="inlineStr">
        <is>
          <t>Principal's actions — what is genuinely left</t>
        </is>
      </c>
      <c r="C11" s="11" t="inlineStr">
        <is>
          <t>New in v0.3.1: have the Cloudflare zone id for sovereign-node.link to hand (Overview page of the zone). A Zone:DNS:Edit-only token cannot look the zone up by name; Phase 1 step 7 asks for the id once if the token cannot list zones.</t>
        </is>
      </c>
      <c r="D11" s="16" t="n"/>
      <c r="E11" s="17" t="n"/>
    </row>
    <row r="12">
      <c r="A12" s="12" t="n">
        <v>8</v>
      </c>
      <c r="B12" s="11" t="inlineStr">
        <is>
          <t>Principal's actions — what is genuinely left</t>
        </is>
      </c>
      <c r="C12" s="11" t="inlineStr">
        <is>
          <t>Source reference recordings for Alaric's gravelly voice and, if the British male presets collide, Gideon's. Sourced. The Day 1 script names the directory they are copied into before Phase 2; if absent, both fall back to the nearest Kokoro preset and V7 is recorded as deferred, not failed.</t>
        </is>
      </c>
      <c r="D12" s="16" t="inlineStr">
        <is>
          <t>Yes</t>
        </is>
      </c>
      <c r="E12" s="17" t="n"/>
    </row>
    <row r="13">
      <c r="A13" s="12" t="n">
        <v>9</v>
      </c>
      <c r="B13" s="11" t="inlineStr">
        <is>
          <t>Principal's actions — what is genuinely left</t>
        </is>
      </c>
      <c r="C13" s="11" t="inlineStr">
        <is>
          <t>Have a monitor and keyboard available for Phase 1 only, in case first boot needs a hand. Done.</t>
        </is>
      </c>
      <c r="D13" s="16" t="inlineStr">
        <is>
          <t>Yes</t>
        </is>
      </c>
      <c r="E13" s="17" t="n"/>
    </row>
    <row r="14">
      <c r="A14" s="12" t="n">
        <v>10</v>
      </c>
      <c r="B14" s="11" t="inlineStr">
        <is>
          <t>Automated on the Principal's instruction, no action needed</t>
        </is>
      </c>
      <c r="C14" s="11" t="inlineStr">
        <is>
          <t>Cloudflare token relocation and deletion of CLOUDFLARE.txt: Phase 2 step 6b (V23).</t>
        </is>
      </c>
      <c r="D14" s="16" t="inlineStr">
        <is>
          <t>Yes</t>
        </is>
      </c>
      <c r="E14" s="17" t="n"/>
    </row>
    <row r="15">
      <c r="A15" s="12" t="n">
        <v>11</v>
      </c>
      <c r="B15" s="11" t="inlineStr">
        <is>
          <t>Automated on the Principal's instruction, no action needed</t>
        </is>
      </c>
      <c r="C15" s="11" t="inlineStr">
        <is>
          <t>Director aliases generated from names rather than confirmed one by one (D14).</t>
        </is>
      </c>
      <c r="D15" s="16" t="inlineStr">
        <is>
          <t>Yes</t>
        </is>
      </c>
      <c r="E15" s="17" t="n"/>
    </row>
    <row r="16">
      <c r="A16" s="12" t="n">
        <v>12</v>
      </c>
      <c r="B16" s="11" t="inlineStr">
        <is>
          <t>Build-side preconditions</t>
        </is>
      </c>
      <c r="C16" s="11" t="inlineStr">
        <is>
          <t>Ubuntu Server 26.04.1 installed on the 4 TB drive; 8 TB drive unpartitioned. Done.</t>
        </is>
      </c>
      <c r="D16" s="16" t="inlineStr">
        <is>
          <t>Yes</t>
        </is>
      </c>
      <c r="E16" s="17" t="n"/>
    </row>
    <row r="17">
      <c r="A17" s="12" t="n">
        <v>13</v>
      </c>
      <c r="B17" s="11" t="inlineStr">
        <is>
          <t>Build-side preconditions</t>
        </is>
      </c>
      <c r="C17" s="11" t="inlineStr">
        <is>
          <t>BIOS: UMA minimum, IOMMU on, fTPM on, Secure Boot disabled (D2). Done.</t>
        </is>
      </c>
      <c r="D17" s="16" t="inlineStr">
        <is>
          <t>Yes</t>
        </is>
      </c>
      <c r="E17" s="17" t="n"/>
    </row>
    <row r="18">
      <c r="A18" s="12" t="n">
        <v>14</v>
      </c>
      <c r="B18" s="11" t="inlineStr">
        <is>
          <t>Build-side preconditions</t>
        </is>
      </c>
      <c r="C18" s="11" t="inlineStr">
        <is>
          <t>LAN address reserved for the node on the router, over Wi-Fi; UDP 51820 forward confirmed to that address. Done.</t>
        </is>
      </c>
      <c r="D18" s="16" t="inlineStr">
        <is>
          <t>Yes</t>
        </is>
      </c>
      <c r="E18" s="17" t="n"/>
    </row>
    <row r="19">
      <c r="A19" s="12" t="n">
        <v>15</v>
      </c>
      <c r="B19" s="11" t="inlineStr">
        <is>
          <t>Build-side preconditions</t>
        </is>
      </c>
      <c r="C19" s="11" t="inlineStr">
        <is>
          <t>Internet bandwidth known, so the ~690 GB Phase 3 download can be planned. Done; the figure was not recorded in the workbook, so the 100 Mbps planning assumption in 15.4 stands until stated.</t>
        </is>
      </c>
      <c r="D19" s="16" t="inlineStr">
        <is>
          <t>Yes</t>
        </is>
      </c>
      <c r="E19" s="17" t="n"/>
    </row>
    <row r="20">
      <c r="A20" s="12" t="n">
        <v>16</v>
      </c>
      <c r="B20" s="11" t="inlineStr">
        <is>
          <t>Accepted resolutions</t>
        </is>
      </c>
      <c r="C20" s="11" t="inlineStr">
        <is>
          <t>C1 through C20 accepted in the returned workbook. C19 was reopened and re-decided in the Principal's favour.</t>
        </is>
      </c>
      <c r="D20" s="16" t="inlineStr">
        <is>
          <t>Yes</t>
        </is>
      </c>
      <c r="E20" s="17" t="n"/>
    </row>
    <row r="21">
      <c r="A21" s="12" t="n">
        <v>17</v>
      </c>
      <c r="B21" s="11" t="inlineStr">
        <is>
          <t>Accepted resolutions</t>
        </is>
      </c>
      <c r="C21" s="11" t="inlineStr">
        <is>
          <t>C21 through C26, new in v0.2, accepted in the returned workbook: the Ubuntu and amd64v3 rejections, the quantisation rise, the closed reserve list, the vision consolidation, and the residency-versus-generation reading.</t>
        </is>
      </c>
      <c r="D21" s="16" t="inlineStr">
        <is>
          <t>Yes</t>
        </is>
      </c>
      <c r="E21" s="17" t="n"/>
    </row>
    <row r="22">
      <c r="A22" s="12" t="n">
        <v>18</v>
      </c>
      <c r="B22" s="11" t="inlineStr">
        <is>
          <t>Accepted resolutions</t>
        </is>
      </c>
      <c r="C22" s="11" t="inlineStr">
        <is>
          <t>R9, R16, R19, R20 and R21 acknowledged in the returned workbook: two changed wording in v0.2, three were new.</t>
        </is>
      </c>
      <c r="D22" s="16" t="inlineStr">
        <is>
          <t>Yes</t>
        </is>
      </c>
      <c r="E22" s="17" t="n"/>
    </row>
  </sheetData>
  <autoFilter ref="A4:E22"/>
  <conditionalFormatting sqref="D5:D22">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2"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3"/>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Firefox in the desktop session; one RDP connection tested from the Principal's Windows PC.</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7. restic repository on the second drive; nightly timer; first backup; first restore test.</t>
        </is>
      </c>
    </row>
    <row r="31">
      <c r="A31" s="11" t="inlineStr">
        <is>
          <t>Phase 2</t>
        </is>
      </c>
      <c r="B31" s="11" t="inlineStr">
        <is>
          <t>8. Sentinel timer, enabled with the feeds closed under D6: CoinDesk, an ASX and US index feed, RSS news, node telemetry. Pruning timer.</t>
        </is>
      </c>
    </row>
    <row r="32">
      <c r="A32" s="11" t="inlineStr">
        <is>
          <t>Phase 2</t>
        </is>
      </c>
      <c r="B32" s="11" t="inlineStr">
        <is>
          <t>9. Windows PC share mount unit, on-demand.</t>
        </is>
      </c>
    </row>
    <row r="33">
      <c r="A33" s="11" t="inlineStr">
        <is>
          <t>Phase 2</t>
        </is>
      </c>
      <c r="B33" s="11" t="inlineStr">
        <is>
          <t>10. Gate: every service healthy; V3 second half (llama-cli --list-devices reports ~170 GB), V6, V7 (listening test, deferred if the reference recordings do not exist yet), V12, V20, V23 recorded. The Arbiter's refusal logic is unit-tested here against stub footprints; the real two-engine test is V21 in Phase 3.</t>
        </is>
      </c>
    </row>
    <row r="34">
      <c r="A34" s="11" t="inlineStr">
        <is>
          <t>Phase 3</t>
        </is>
      </c>
      <c r="B34" s="11" t="inlineStr">
        <is>
          <t>1. Pull, with checksum verification, at the quantisations fixed in Section 5.1: gpt-oss-120b (MXFP4), gpt-oss-120b abliterated (MXFP4), Nemotron 3 Super (Q8_0), Qwen3.5-122B-A10B (Q8_0), DeepSeek V4 Flash (UD-Q4_K_XL), Qwen2.5-VL-72B (Q8_0), Meditron-70B (Q8_0). About 690 GB.</t>
        </is>
      </c>
    </row>
    <row r="35">
      <c r="A35" s="11" t="inlineStr">
        <is>
          <t>Phase 3</t>
        </is>
      </c>
      <c r="B35" s="11" t="inlineStr">
        <is>
          <t>2. For each model, in turn: load through the Engine Arbiter; confirm the quantised KV cache actually applied (V4); measure decode and prefill at 512 and 8k tokens; measure swap time; unload; confirm memory returned.</t>
        </is>
      </c>
    </row>
    <row r="36">
      <c r="A36" s="11" t="inlineStr">
        <is>
          <t>Phase 3</t>
        </is>
      </c>
      <c r="B36" s="11" t="inlineStr">
        <is>
          <t>3. Two-residency test: load gpt-oss-120b and Qwen2.5-VL-72B together, confirm both hold at ~142 GB, and confirm a second generation request queues rather than running concurrently (V14, V21).</t>
        </is>
      </c>
    </row>
    <row r="37">
      <c r="A37" s="11" t="inlineStr">
        <is>
          <t>Phase 3</t>
        </is>
      </c>
      <c r="B37"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38">
      <c r="A38" s="11" t="inlineStr">
        <is>
          <t>Phase 4</t>
        </is>
      </c>
      <c r="B38" s="11" t="inlineStr">
        <is>
          <t>1. Inside the base ROCm container, confirm rocminfo reports gfx1151, then self-test the community PyTorch wheel: tensor on GPU, matmul, a small diffusion step (V11). This is the first and only place ROCm runs.</t>
        </is>
      </c>
    </row>
    <row r="39">
      <c r="A39" s="11" t="inlineStr">
        <is>
          <t>Phase 4</t>
        </is>
      </c>
      <c r="B39"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0">
      <c r="A40" s="11" t="inlineStr">
        <is>
          <t>Phase 4</t>
        </is>
      </c>
      <c r="B40" s="11" t="inlineStr">
        <is>
          <t>3. Attempt yellow engines: TRELLIS, Blender Cycles HIP with CPU fallback. Log pass or fail, never block.</t>
        </is>
      </c>
    </row>
    <row r="41">
      <c r="A41" s="11" t="inlineStr">
        <is>
          <t>Phase 4</t>
        </is>
      </c>
      <c r="B41" s="11" t="inlineStr">
        <is>
          <t>4. Verify PointLLM (V8) and Clay or Prithvi (V9); mark deferred if they fail.</t>
        </is>
      </c>
    </row>
    <row r="42">
      <c r="A42" s="11" t="inlineStr">
        <is>
          <t>Phase 4</t>
        </is>
      </c>
      <c r="B42" s="11" t="inlineStr">
        <is>
          <t>5. Register every passing engine with the Engine Arbiter with its measured footprint.</t>
        </is>
      </c>
    </row>
    <row r="43">
      <c r="A43" s="11" t="inlineStr">
        <is>
          <t>Phase 4</t>
        </is>
      </c>
      <c r="B43"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2026-09-27T06:13:38Z</dcterms:created>
  <dcterms:modified xsi:type="dcterms:W3CDTF">2026-09-27T06:13:38Z</dcterms:modified>
</cp:coreProperties>
</file>