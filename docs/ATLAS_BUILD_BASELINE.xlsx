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Decisions'!$A$4:$F$19</definedName>
    <definedName name="_xlnm._FilterDatabase" localSheetId="2" hidden="1">'2 Resolutions'!$A$4:$E$31</definedName>
    <definedName name="_xlnm._FilterDatabase" localSheetId="3" hidden="1">'3 Risks'!$A$4:$G$29</definedName>
    <definedName name="_xlnm._FilterDatabase" localSheetId="4" hidden="1">'4 Verification'!$A$4:$E$27</definedName>
    <definedName name="_xlnm._FilterDatabase" localSheetId="5" hidden="1">'5 Checklist'!$A$4:$E$29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v0.3.4 (2026-10-08). Ubuntu Server 26.04.1 re-confirmed over Fedora 44 KDE Plasma (C27). The Day 1 scripts are delivered under scripts/day1 and never stop on a missing input from the Principal (they ask once, defer, and keep a to-do list); this workbook carries the record of decisions and the four risk rows still to acknowledge. Nothing has been executed.</t>
        </is>
      </c>
    </row>
    <row r="4">
      <c r="A4" s="3" t="inlineStr">
        <is>
          <t>How to use this workbook</t>
        </is>
      </c>
    </row>
    <row r="5">
      <c r="A5" s="4" t="inlineStr">
        <is>
          <t>1. Sheets 1, 2 and 3 are a record of your answers of 2026-09-21, 2026-10-05 (D15: Secure Boot enabled) and 2026-10-08 (C27: Ubuntu kept). Four rows still need you: R22 to R25 on sheet 3. Sheet 5 lists the one new precondition (Secure Boot on in the BIOS) and the optional items the scripts ask for at a prompt.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and memory budget, engines, cabinet, domains, task forces, integrations, voice, multimodal, governance, Day 1) for checking against.</t>
        </is>
      </c>
    </row>
    <row r="10">
      <c r="A10" s="4" t="inlineStr">
        <is>
          <t>6. Outstanding before Day 1: R22 to R25 and the blank sheet 5 rows (only the Secure Boot BIOS setting is required; the rest are optional and can be given at the prompt or left for the live ATLAS).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Decisions'!$A$5:$A$19)</f>
        <v/>
      </c>
      <c r="C21" s="12">
        <f>B21-G21</f>
        <v/>
      </c>
      <c r="D21" s="12">
        <f>COUNTIF('1 Decisions'!$E$5:$E$19,"Confirmed")</f>
        <v/>
      </c>
      <c r="E21" s="12">
        <f>0</f>
        <v/>
      </c>
      <c r="F21" s="12">
        <f>COUNTIF('1 Decisions'!$E$5:$E$19,"Changed my mind")</f>
        <v/>
      </c>
      <c r="G21" s="12">
        <f>COUNTBLANK('1 Decisions'!$E$5:$E$19)</f>
        <v/>
      </c>
    </row>
    <row r="22">
      <c r="A22" s="11" t="inlineStr">
        <is>
          <t>2 Resolutions</t>
        </is>
      </c>
      <c r="B22" s="12">
        <f>COUNTA('2 Resolutions'!$A$5:$A$31)</f>
        <v/>
      </c>
      <c r="C22" s="12">
        <f>B22-G22</f>
        <v/>
      </c>
      <c r="D22" s="12">
        <f>COUNTIF('2 Resolutions'!$D$5:$D$31,"Accept")</f>
        <v/>
      </c>
      <c r="E22" s="12">
        <f>0</f>
        <v/>
      </c>
      <c r="F22" s="12">
        <f>COUNTIF('2 Resolutions'!$D$5:$D$31,"Disagree - return to decisions")</f>
        <v/>
      </c>
      <c r="G22" s="12">
        <f>COUNTBLANK('2 Resolutions'!$D$5:$D$31)</f>
        <v/>
      </c>
    </row>
    <row r="23">
      <c r="A23" s="11" t="inlineStr">
        <is>
          <t>3 Risks</t>
        </is>
      </c>
      <c r="B23" s="12">
        <f>COUNTA('3 Risks'!$A$5:$A$29)</f>
        <v/>
      </c>
      <c r="C23" s="12">
        <f>B23-G23</f>
        <v/>
      </c>
      <c r="D23" s="12">
        <f>COUNTIF('3 Risks'!$F$5:$F$29,"Yes")</f>
        <v/>
      </c>
      <c r="E23" s="12">
        <f>0</f>
        <v/>
      </c>
      <c r="F23" s="12">
        <f>COUNTIF('3 Risks'!$F$5:$F$29,"Discuss")</f>
        <v/>
      </c>
      <c r="G23" s="12">
        <f>COUNTBLANK('3 Risks'!$F$5:$F$29)</f>
        <v/>
      </c>
    </row>
    <row r="24">
      <c r="A24" s="11" t="inlineStr">
        <is>
          <t>4 Verification</t>
        </is>
      </c>
      <c r="B24" s="12">
        <f>COUNTA('4 Verification'!$A$5:$A$27)</f>
        <v/>
      </c>
      <c r="C24" s="12">
        <f>B24-G24</f>
        <v/>
      </c>
      <c r="D24" s="12">
        <f>COUNTIF('4 Verification'!$D$5:$D$27,"Pass")</f>
        <v/>
      </c>
      <c r="E24" s="12">
        <f>COUNTIF('4 Verification'!$D$5:$D$27,"Deferred")</f>
        <v/>
      </c>
      <c r="F24" s="12">
        <f>COUNTIF('4 Verification'!$D$5:$D$27,"Fail")</f>
        <v/>
      </c>
      <c r="G24" s="12">
        <f>COUNTBLANK('4 Verification'!$D$5:$D$27)+COUNTIF('4 Verification'!$D$5:$D$27,"Not yet run")</f>
        <v/>
      </c>
    </row>
    <row r="25">
      <c r="A25" s="11" t="inlineStr">
        <is>
          <t>5 Checklist</t>
        </is>
      </c>
      <c r="B25" s="12">
        <f>COUNTA('5 Checklist'!$A$5:$A$29)</f>
        <v/>
      </c>
      <c r="C25" s="12">
        <f>B25-G25</f>
        <v/>
      </c>
      <c r="D25" s="12">
        <f>COUNTIF('5 Checklist'!$D$5:$D$29,"Yes")+COUNTIF('5 Checklist'!$D$5:$D$29,"N/A")</f>
        <v/>
      </c>
      <c r="E25" s="12">
        <f>0</f>
        <v/>
      </c>
      <c r="F25" s="12">
        <f>COUNTIF('5 Checklist'!$D$5:$D$29,"No")</f>
        <v/>
      </c>
      <c r="G25" s="12">
        <f>COUNTBLANK('5 Checklist'!$D$5:$D$29)</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fifteen are closed; D15 (Secure Boot and the TPM binding) was decided on 2026-10-05 as option (a), Secure Boot enabled in the BIOS.</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 superseded by D15 (enabled)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row r="19">
      <c r="A19" s="12" t="inlineStr">
        <is>
          <t>D15</t>
        </is>
      </c>
      <c r="B19" s="11" t="inlineStr">
        <is>
          <t>Secure Boot and the TPM binding (reopens D2)</t>
        </is>
      </c>
      <c r="C19" s="11" t="inlineStr">
        <is>
          <t>CLOSED 2026-10-05: option (a), Secure Boot enabled. With Secure Boot off, PCR 7 is the same for any boot medium, so the data volume would unseal for any OS booted on this hardware. Enabling Secure Boot reverses D2 at no cost: this stack has no out-of-tree kernel modules (amdgpu and WireGuard are in-tree, Docker needs none). The Principal enables it in the BIOS; it is a precondition in Section 22. Until it is on, pre-flight warns, every V2 row notes the state and the to-do secure-boot stays open (no acknowledgement key exists any more; options (b) and (c) are withdrawn)</t>
        </is>
      </c>
      <c r="D19" s="11" t="inlineStr">
        <is>
          <t>Decided by the Principal: (a). R23 mitigated once the BIOS setting is made</t>
        </is>
      </c>
      <c r="E19" s="16" t="inlineStr">
        <is>
          <t>Confirmed</t>
        </is>
      </c>
      <c r="F19" s="17" t="n"/>
    </row>
  </sheetData>
  <autoFilter ref="A4:F19"/>
  <conditionalFormatting sqref="E5:E19">
    <cfRule type="cellIs" priority="1" operator="equal" dxfId="0">
      <formula>"Confirmed"</formula>
    </cfRule>
    <cfRule type="cellIs" priority="2" operator="equal" dxfId="1">
      <formula>"Changed my mind"</formula>
    </cfRule>
  </conditionalFormatting>
  <dataValidations count="1">
    <dataValidation sqref="E5:E19"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C26 accepted in the workbook returned 2026-09-21; C27 (Ubuntu Server kept over Fedora 44 KDE Plasma) decided by the Principal on 2026-10-08.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t>
        </is>
      </c>
      <c r="C6" s="11" t="inlineStr">
        <is>
          <t>ROCm lives inside containers; host runs Vulkan only (3.4)</t>
        </is>
      </c>
      <c r="D6" s="16" t="inlineStr">
        <is>
          <t>Accept</t>
        </is>
      </c>
      <c r="E6" s="17" t="n"/>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24.04.5 brings the 7.0 kernel through HWE but stays on Mesa 25.2.8, so hardware support is close, not identical; 26.04.1 wins on support life (May 2031 against May 2029), graphics stack and toolchain (3.1; corrected in v0.3.4, S37)</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inlineStr">
        <is>
          <t>Accept</t>
        </is>
      </c>
      <c r="E27" s="17" t="n"/>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inlineStr">
        <is>
          <t>Accept</t>
        </is>
      </c>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inlineStr">
        <is>
          <t>Accept</t>
        </is>
      </c>
      <c r="E30" s="17" t="n"/>
    </row>
    <row r="31">
      <c r="A31" s="12" t="inlineStr">
        <is>
          <t>C27</t>
        </is>
      </c>
      <c r="B31" s="11" t="inlineStr">
        <is>
          <t>Ubuntu Server 26.04.1 versus Fedora 44 KDE Plasma, raised by the Principal on 2026-10-07</t>
        </is>
      </c>
      <c r="C31" s="11" t="inlineStr">
        <is>
          <t>Ubuntu Server 26.04.1, re-confirmed 2026-10-08: five years without a major upgrade, a fixed kernel series, a dependable Remote Desktop login without autologin, AMD's vendor support for the chip, and no rewrite of the reviewed scripts (3.1). New in v0.3.4</t>
        </is>
      </c>
      <c r="D31" s="16" t="inlineStr">
        <is>
          <t>Accept</t>
        </is>
      </c>
      <c r="E31" s="17" t="n"/>
    </row>
  </sheetData>
  <autoFilter ref="A4:E31"/>
  <conditionalFormatting sqref="D5:D31">
    <cfRule type="cellIs" priority="1" operator="equal" dxfId="0">
      <formula>"Accept"</formula>
    </cfRule>
    <cfRule type="cellIs" priority="2" operator="equal" dxfId="1">
      <formula>"Disagree - return to decisions"</formula>
    </cfRule>
  </conditionalFormatting>
  <dataValidations count="1">
    <dataValidation sqref="D5:D31"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R1 to R21 acknowledged in the workbook returned 2026-09-21. R22 and R23 (v0.3.2) and R24 and R25 (v0.3.4: the xrdp exposure and the unattended-reboot gap) are blank; R23 is mitigated by D15 (Secure Boot enabled) once the BIOS setting is made.</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has no official gfx1151 wheel, the community wheel may break on update</t>
        </is>
      </c>
      <c r="C5" s="11" t="inlineStr">
        <is>
          <t>High</t>
        </is>
      </c>
      <c r="D5" s="11" t="inlineStr">
        <is>
          <t>High for Phase 4, none for the LLM layer</t>
        </is>
      </c>
      <c r="E5" s="11" t="inlineStr">
        <is>
          <t>Pin versions, per-engine pass/fail, containerised so the host is untouched</t>
        </is>
      </c>
      <c r="F5" s="16" t="inlineStr">
        <is>
          <t>Yes</t>
        </is>
      </c>
      <c r="G5" s="17" t="n"/>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t>
        </is>
      </c>
      <c r="C7" s="11" t="inlineStr">
        <is>
          <t>Certain</t>
        </is>
      </c>
      <c r="D7" s="11" t="inlineStr">
        <is>
          <t>Medium</t>
        </is>
      </c>
      <c r="E7" s="11" t="inlineStr">
        <is>
          <t>Never install ROCm on the host, containers only (3.4)</t>
        </is>
      </c>
      <c r="F7" s="16" t="inlineStr">
        <is>
          <t>Yes</t>
        </is>
      </c>
      <c r="G7" s="17" t="n"/>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inlineStr">
        <is>
          <t>Yes</t>
        </is>
      </c>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inlineStr">
        <is>
          <t>Yes</t>
        </is>
      </c>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R22</t>
        </is>
      </c>
      <c r="B17" s="11" t="inlineStr">
        <is>
          <t>The atlas service user is in the docker group, which is root-equivalent on the host; the orchestrator needs the socket for the sandbox and Phase 4 containers</t>
        </is>
      </c>
      <c r="C17" s="11" t="inlineStr">
        <is>
          <t>Medium</t>
        </is>
      </c>
      <c r="D17" s="11" t="inlineStr">
        <is>
          <t>High if the orchestrator is ever compromised</t>
        </is>
      </c>
      <c r="E17" s="11" t="inlineStr">
        <is>
          <t>Accepted for Day 1 and recorded in every script header; Day 2 options are rootless Docker or a socket proxy that allows only the sandbox and engine images. New in v0.3.2</t>
        </is>
      </c>
      <c r="F17" s="16" t="n"/>
      <c r="G17" s="17" t="n"/>
    </row>
    <row r="18">
      <c r="A18" s="12" t="inlineStr">
        <is>
          <t>R23</t>
        </is>
      </c>
      <c r="B18" s="11" t="inlineStr">
        <is>
          <t>TPM2 unlock bound to PCR 7 with Secure Boot disabled unseals for any boot medium (see D15)</t>
        </is>
      </c>
      <c r="C18" s="11" t="inlineStr">
        <is>
          <t>Medium</t>
        </is>
      </c>
      <c r="D18" s="11" t="inlineStr">
        <is>
          <t>High for physical theft of the node</t>
        </is>
      </c>
      <c r="E18" s="11" t="inlineStr">
        <is>
          <t>D15 closed as Secure Boot enabled (v0.3.3); mitigated once the Principal makes the BIOS setting. Until then pre-flight warns, V2 notes it and the to-do secure-boot is open; the enrolment itself proceeds. New in v0.3.2</t>
        </is>
      </c>
      <c r="F18" s="16" t="n"/>
      <c r="G18" s="17" t="n"/>
    </row>
    <row r="19">
      <c r="A19" s="12" t="inlineStr">
        <is>
          <t>R24</t>
        </is>
      </c>
      <c r="B19" s="11" t="inlineStr">
        <is>
          <t>xrdp is the LAN service with known unpatched flaws reachable before login: 26.04 packages 0.10.1 in universe, eighteen 2026 xrdp CVEs (fixed upstream in 0.10.6 and 0.10.6.1) are still "needs-triage" for 26.04, Ubuntu Pro's esm-apps carries no fix, and 0.10.1 runs as root. (SSH, Cockpit, Open WebUI and ntfy are also reachable before login from the LAN; none has a comparable open list.)</t>
        </is>
      </c>
      <c r="C19" s="11" t="inlineStr">
        <is>
          <t>Medium</t>
        </is>
      </c>
      <c r="D19" s="11" t="inlineStr">
        <is>
          <t>High (code execution as root) if a LAN device or a WireGuard peer is hostile</t>
        </is>
      </c>
      <c r="E19" s="11" t="inlineStr">
        <is>
          <t>v0.3.4: port 3389 only from the LAN subnet and WireGuard; the VNC proxy entry (vnc-any, the CVSS 9.8 CVE-2026-41252 path, also commented out upstream in 0.10.6.1), the NeutrinoRDP proxy entry (its module is not shipped) and Xvnc switched off; no root login, no alternate shell, TLS only; optional RDP_ALLOW_FROM (addresses inside the LAN, never the WireGuard bridge, checked before the firewall is touched) narrows the LAN side to the Principal's PC, and step 5b records the to-do with the LAN address the PC connected from. Residual: the remaining pre-login bugs from those hosts. Watch for a 26.04 xrdp security update; a later option is to keep 3389 on WireGuard only. New in v0.3.4</t>
        </is>
      </c>
      <c r="F19" s="16" t="n"/>
      <c r="G19" s="17" t="n"/>
    </row>
    <row r="20">
      <c r="A20" s="12" t="inlineStr">
        <is>
          <t>R25</t>
        </is>
      </c>
      <c r="B20" s="11" t="inlineStr">
        <is>
          <t>Unattended upgrades install security updates from the release and security pockets but never reboot, and do not update Docker CE or Google Chrome (third-party repositories), so kernel and library fixes take effect only at the next reboot</t>
        </is>
      </c>
      <c r="C20" s="11" t="inlineStr">
        <is>
          <t>Medium</t>
        </is>
      </c>
      <c r="D20" s="11" t="inlineStr">
        <is>
          <t>Medium</t>
        </is>
      </c>
      <c r="E20" s="11" t="inlineStr">
        <is>
          <t>Accepted for Day 1: an automatic reboot would interrupt long jobs. Day 2: the live ATLAS reports "reboot required" and pending Docker CE/Chrome updates through ntfy and schedules the reboot with the Principal. New in v0.3.4</t>
        </is>
      </c>
      <c r="F20" s="16" t="n"/>
      <c r="G20" s="17" t="n"/>
    </row>
    <row r="21">
      <c r="A21" s="12" t="inlineStr">
        <is>
          <t>R10</t>
        </is>
      </c>
      <c r="B21" s="11" t="inlineStr">
        <is>
          <t>Sustained thermal load in a small chassis</t>
        </is>
      </c>
      <c r="C21" s="11" t="inlineStr">
        <is>
          <t>Medium</t>
        </is>
      </c>
      <c r="D21" s="11" t="inlineStr">
        <is>
          <t>Low</t>
        </is>
      </c>
      <c r="E21" s="11" t="inlineStr">
        <is>
          <t>Monitor temperatures in Cockpit; the chip's configurable ceiling is 120 W and the Principal is adding external cooling</t>
        </is>
      </c>
      <c r="F21" s="16" t="inlineStr">
        <is>
          <t>Yes</t>
        </is>
      </c>
      <c r="G21" s="17" t="n"/>
    </row>
    <row r="22">
      <c r="A22" s="12" t="inlineStr">
        <is>
          <t>R11</t>
        </is>
      </c>
      <c r="B22" s="11" t="inlineStr">
        <is>
          <t>CGNAT prevents inbound WireGuard</t>
        </is>
      </c>
      <c r="C22" s="11" t="inlineStr">
        <is>
          <t>Low, port forward already succeeded</t>
        </is>
      </c>
      <c r="D22" s="11" t="inlineStr">
        <is>
          <t>High for remote access</t>
        </is>
      </c>
      <c r="E22" s="11" t="inlineStr">
        <is>
          <t>V5 from mobile data, static IP from the ISP if needed</t>
        </is>
      </c>
      <c r="F22" s="16" t="inlineStr">
        <is>
          <t>Yes</t>
        </is>
      </c>
      <c r="G22" s="17" t="n"/>
    </row>
    <row r="23">
      <c r="A23" s="12" t="inlineStr">
        <is>
          <t>R12</t>
        </is>
      </c>
      <c r="B23" s="11" t="inlineStr">
        <is>
          <t>Fictitious directors corresponding as humans, AI non-disclosure</t>
        </is>
      </c>
      <c r="C23" s="11" t="inlineStr">
        <is>
          <t>Medium</t>
        </is>
      </c>
      <c r="D23" s="11" t="inlineStr">
        <is>
          <t>Medium to high, legal</t>
        </is>
      </c>
      <c r="E23" s="11" t="inlineStr">
        <is>
          <t>Gideon's sensitive-tier check, approval gate, 16.5</t>
        </is>
      </c>
      <c r="F23" s="16" t="inlineStr">
        <is>
          <t>Yes</t>
        </is>
      </c>
      <c r="G23" s="17" t="n"/>
    </row>
    <row r="24">
      <c r="A24" s="12" t="inlineStr">
        <is>
          <t>R13</t>
        </is>
      </c>
      <c r="B24" s="11" t="inlineStr">
        <is>
          <t>Abliterated engine used for external output</t>
        </is>
      </c>
      <c r="C24" s="11" t="inlineStr">
        <is>
          <t>Medium</t>
        </is>
      </c>
      <c r="D24" s="11" t="inlineStr">
        <is>
          <t>Medium</t>
        </is>
      </c>
      <c r="E24" s="11" t="inlineStr">
        <is>
          <t>Abliterated output always passes the same gate, never routine tier</t>
        </is>
      </c>
      <c r="F24" s="16" t="inlineStr">
        <is>
          <t>Yes</t>
        </is>
      </c>
      <c r="G24" s="17" t="n"/>
    </row>
    <row r="25">
      <c r="A25" s="12" t="inlineStr">
        <is>
          <t>R14</t>
        </is>
      </c>
      <c r="B25" s="11" t="inlineStr">
        <is>
          <t>Chatterbox continuation quirk in production speech</t>
        </is>
      </c>
      <c r="C25" s="11" t="inlineStr">
        <is>
          <t>Medium</t>
        </is>
      </c>
      <c r="D25" s="11" t="inlineStr">
        <is>
          <t>Low</t>
        </is>
      </c>
      <c r="E25" s="11" t="inlineStr">
        <is>
          <t>V7 testing, Kokoro fallback per line</t>
        </is>
      </c>
      <c r="F25" s="16" t="inlineStr">
        <is>
          <t>Yes</t>
        </is>
      </c>
      <c r="G25" s="17" t="n"/>
    </row>
    <row r="26">
      <c r="A26" s="12" t="inlineStr">
        <is>
          <t>R15</t>
        </is>
      </c>
      <c r="B26" s="11" t="inlineStr">
        <is>
          <t>Prompt bloat from domain injection makes every dispatch slow</t>
        </is>
      </c>
      <c r="C26" s="11" t="inlineStr">
        <is>
          <t>High without limits</t>
        </is>
      </c>
      <c r="D26" s="11" t="inlineStr">
        <is>
          <t>High, usability</t>
        </is>
      </c>
      <c r="E26" s="11" t="inlineStr">
        <is>
          <t>Three-card limit, compact cards, stable-prefix ordering (8.4, 4.4)</t>
        </is>
      </c>
      <c r="F26" s="16" t="inlineStr">
        <is>
          <t>Yes</t>
        </is>
      </c>
      <c r="G26" s="17" t="n"/>
    </row>
    <row r="27">
      <c r="A27" s="12" t="inlineStr">
        <is>
          <t>R16</t>
        </is>
      </c>
      <c r="B27" s="11" t="inlineStr">
        <is>
          <t>Backup passphrase or LUKS key lost with the node</t>
        </is>
      </c>
      <c r="C27" s="11" t="inlineStr">
        <is>
          <t>Low</t>
        </is>
      </c>
      <c r="D27" s="11" t="inlineStr">
        <is>
          <t>Catastrophic</t>
        </is>
      </c>
      <c r="E27"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27" s="16" t="inlineStr">
        <is>
          <t>Yes</t>
        </is>
      </c>
      <c r="G27" s="17" t="n"/>
    </row>
    <row r="28">
      <c r="A28" s="12" t="inlineStr">
        <is>
          <t>R17</t>
        </is>
      </c>
      <c r="B28" s="11" t="inlineStr">
        <is>
          <t>PyAnnote gated model not accepted, diarisation silently absent</t>
        </is>
      </c>
      <c r="C28" s="11" t="inlineStr">
        <is>
          <t>Medium</t>
        </is>
      </c>
      <c r="D28" s="11" t="inlineStr">
        <is>
          <t>Low</t>
        </is>
      </c>
      <c r="E28" s="11" t="inlineStr">
        <is>
          <t>V6</t>
        </is>
      </c>
      <c r="F28" s="16" t="inlineStr">
        <is>
          <t>Yes</t>
        </is>
      </c>
      <c r="G28" s="17" t="n"/>
    </row>
    <row r="29">
      <c r="A29" s="12" t="inlineStr">
        <is>
          <t>R18</t>
        </is>
      </c>
      <c r="B29" s="11" t="inlineStr">
        <is>
          <t>Continuous vision enabled by drift rather than decision</t>
        </is>
      </c>
      <c r="C29" s="11" t="inlineStr">
        <is>
          <t>Low</t>
        </is>
      </c>
      <c r="D29" s="11" t="inlineStr">
        <is>
          <t>High, privacy</t>
        </is>
      </c>
      <c r="E29" s="11" t="inlineStr">
        <is>
          <t>Separate capability flag under Alaric, logged, D8 item 7</t>
        </is>
      </c>
      <c r="F29" s="16" t="inlineStr">
        <is>
          <t>Yes</t>
        </is>
      </c>
      <c r="G29" s="17" t="n"/>
    </row>
  </sheetData>
  <autoFilter ref="A4:G29"/>
  <conditionalFormatting sqref="F5:F29">
    <cfRule type="cellIs" priority="1" operator="equal" dxfId="0">
      <formula>"Yes"</formula>
    </cfRule>
    <cfRule type="cellIs" priority="2" operator="equal" dxfId="1">
      <formula>"Discuss"</formula>
    </cfRule>
  </conditionalFormatting>
  <dataValidations count="1">
    <dataValidation sqref="F5:F29"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llama-cli --list-devices then reports ~170 GB usable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the community PyTorch wheel passes tensor, matmul and diffusion self-tests</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sheetData>
  <autoFilter ref="A4:E27"/>
  <conditionalFormatting sqref="D5:D27">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7"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The original rows were ticked in the workbook returned 2026-09-21. Blank rows: the Secure Boot BIOS setting (required, v0.3.3) and the optional items the scripts ask for at a prompt (Yes when provided, N/A to leave them for the live ATLAS to-do list). Phase 1 runs with only the Secure Boot row and the install rows ticked.</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Have the USB recovery drive present on Day 1 and write it at the Day 1 close-out: the LUKS recovery key (shown once in Phase 1 step 2), the restic passphrase (/etc/atlas/secrets/restic.pass, shown once in Phase 2 step 7) and the vault passphrase you chose (step 9b); then store it away from the node, not beside it (R16). *Reworded in v0.3.2: the material does not exist before Day 1, so the drive cannot be "stored" yet.*</t>
        </is>
      </c>
      <c r="D8" s="16" t="n"/>
      <c r="E8" s="17" t="n"/>
    </row>
    <row r="9">
      <c r="A9" s="12" t="n">
        <v>5</v>
      </c>
      <c r="B9" s="11" t="inlineStr">
        <is>
          <t>Principal's actions — what is genuinely left</t>
        </is>
      </c>
      <c r="C9" s="11" t="inlineStr">
        <is>
          <t>New in v0.3.3: enable Secure Boot in the BIOS before Phase 1 (D15, option (a)). The one BIOS change since the workbook; without it pre-flight warns and the to-do secure-boot stays open, nothing stops.</t>
        </is>
      </c>
      <c r="D9" s="16" t="n"/>
      <c r="E9" s="17" t="n"/>
    </row>
    <row r="10">
      <c r="A10" s="12" t="n">
        <v>6</v>
      </c>
      <c r="B10" s="11" t="inlineStr">
        <is>
          <t>Principal's actions — what is genuinely left</t>
        </is>
      </c>
      <c r="C10" s="11" t="inlineStr">
        <is>
          <t>Optional, asked at the prompt (v0.3.3): your SSH public key, pasted when Phase 1 step 1 asks (the step prints the PowerShell command that shows it); skipped, password SSH stays on until the key is added (to-do ssh-key).</t>
        </is>
      </c>
      <c r="D10" s="16" t="n"/>
      <c r="E10" s="17" t="n"/>
    </row>
    <row r="11">
      <c r="A11" s="12" t="n">
        <v>7</v>
      </c>
      <c r="B11" s="11" t="inlineStr">
        <is>
          <t>Principal's actions — what is genuinely left</t>
        </is>
      </c>
      <c r="C11" s="11" t="inlineStr">
        <is>
          <t>Optional, asked at the prompt (v0.3.3): GOOGLE_ACCOUNTS (two addresses, each tagged corporate or estate), FAMILY_NAMES (for the router's hard rule) and BUILDFARM_ACCEPT_ANDROID_SDK_LICENCE (Google's Android SDK licence, needed by the build container) are asked once by the first run, with an example each; a skip records a to-do and the dependent step defers itself. WINDOWS_SHARE is not asked (Section 12.4: live to-do).</t>
        </is>
      </c>
      <c r="D11" s="16" t="n"/>
      <c r="E11" s="17" t="n"/>
    </row>
    <row r="12">
      <c r="A12" s="12" t="n">
        <v>8</v>
      </c>
      <c r="B12" s="11" t="inlineStr">
        <is>
          <t>Principal's actions — what is genuinely left</t>
        </is>
      </c>
      <c r="C12" s="11" t="inlineStr">
        <is>
          <t>~~/etc/atlas/secrets/smb.cred for the Windows share account~~ Deferred to the live ATLAS (v0.3.3) with the share itself; Phase 2 step 9 is skipped. No action before Day 1.</t>
        </is>
      </c>
      <c r="D12" s="16" t="inlineStr">
        <is>
          <t>Yes</t>
        </is>
      </c>
      <c r="E12" s="17" t="n"/>
    </row>
    <row r="13">
      <c r="A13" s="12" t="n">
        <v>9</v>
      </c>
      <c r="B13" s="11" t="inlineStr">
        <is>
          <t>Principal's actions — what is genuinely left</t>
        </is>
      </c>
      <c r="C13" s="11" t="inlineStr">
        <is>
          <t>Decide D15 (Secure Boot and the TPM binding). Done 2026-10-05: option (a).</t>
        </is>
      </c>
      <c r="D13" s="16" t="inlineStr">
        <is>
          <t>Yes</t>
        </is>
      </c>
      <c r="E13" s="17" t="n"/>
    </row>
    <row r="14">
      <c r="A14" s="12" t="n">
        <v>10</v>
      </c>
      <c r="B14" s="11" t="inlineStr">
        <is>
          <t>Principal's actions — what is genuinely left</t>
        </is>
      </c>
      <c r="C14" s="11" t="inlineStr">
        <is>
          <t>Create the Google Cloud OAuth client for Gmail, Calendar and Drive, and be reachable for roughly five minutes during the Phase 2 pause (V20). Client created. The consent click itself still happens during Phase 2; Google requires the account owner to click Allow. The client must be of the Desktop app type (its JSON has a top-level installed key; a web key is the wrong type and Phase 2 stops at minute 0 saying so). Drop the JSON into /srv/atlas/staging/inbox/google-oauth-client.json once Phase 1 has created that folder.</t>
        </is>
      </c>
      <c r="D14" s="16" t="inlineStr">
        <is>
          <t>Yes</t>
        </is>
      </c>
      <c r="E14" s="17" t="n"/>
    </row>
    <row r="15">
      <c r="A15" s="12" t="n">
        <v>11</v>
      </c>
      <c r="B15" s="11" t="inlineStr">
        <is>
          <t>Principal's actions — what is genuinely left</t>
        </is>
      </c>
      <c r="C15" s="11" t="inlineStr">
        <is>
          <t>Optional, asked at the prompt (v0.3.1, relaxed in v0.3.3): create a Hugging Face access token (read scope) and, with the same account, accept the licences of the gated models on huggingface.co: pyannote/speaker-diarization-3.1 and pyannote/segmentation-3.0 (V6), black-forest-labs/FLUX.1-dev and stabilityai/stable-audio-open-1.0 (Phase 4). Phase 2 asks for the token once at its start (hidden input) and stores it under /etc/atlas/secrets/; skipped, V6 and the gated Phase 4 engines are deferred with the to-do input-hf-token.</t>
        </is>
      </c>
      <c r="D15" s="16" t="n"/>
      <c r="E15" s="17" t="n"/>
    </row>
    <row r="16">
      <c r="A16" s="12" t="n">
        <v>12</v>
      </c>
      <c r="B16" s="11" t="inlineStr">
        <is>
          <t>Principal's actions — what is genuinely left</t>
        </is>
      </c>
      <c r="C16" s="11" t="inlineStr">
        <is>
          <t>Optional, asked at the prompt (v0.3.1, relaxed in v0.3.3): have the Cloudflare zone id for sovereign-node.link to hand (Overview page of the zone). A Zone:DNS:Edit-only token cannot look the zone up by name; Phase 1 step 7 asks for the id once if the token cannot list zones. A missing CLOUDFLARE.txt or a skipped zone id defers dynamic DNS and V23 with a to-do.</t>
        </is>
      </c>
      <c r="D16" s="16" t="n"/>
      <c r="E16" s="17" t="n"/>
    </row>
    <row r="17">
      <c r="A17" s="12" t="n">
        <v>13</v>
      </c>
      <c r="B17" s="11" t="inlineStr">
        <is>
          <t>Principal's actions — what is genuinely left</t>
        </is>
      </c>
      <c r="C17" s="11" t="inlineStr">
        <is>
          <t>Source reference recordings for Alaric's gravelly voice and, if the British male presets collide, Gideon's. Sourced. Drop them as alaric.* and gideon.* (WAV, MP3 or M4A; step 5 converts to 16 kHz mono WAV) into /srv/atlas/staging/inbox/voice-references/ once Phase 1 has created the folder; if absent, both fall back to the nearest Kokoro preset and V7 is recorded as deferred, not failed.</t>
        </is>
      </c>
      <c r="D17" s="16" t="inlineStr">
        <is>
          <t>Yes</t>
        </is>
      </c>
      <c r="E17" s="17" t="n"/>
    </row>
    <row r="18">
      <c r="A18" s="12" t="n">
        <v>14</v>
      </c>
      <c r="B18" s="11" t="inlineStr">
        <is>
          <t>Principal's actions — what is genuinely left</t>
        </is>
      </c>
      <c r="C18" s="11" t="inlineStr">
        <is>
          <t>Have a monitor and keyboard available for Phase 1 only, in case first boot needs a hand. Done.</t>
        </is>
      </c>
      <c r="D18" s="16" t="inlineStr">
        <is>
          <t>Yes</t>
        </is>
      </c>
      <c r="E18" s="17" t="n"/>
    </row>
    <row r="19">
      <c r="A19" s="12" t="n">
        <v>15</v>
      </c>
      <c r="B19" s="11" t="inlineStr">
        <is>
          <t>Automated on the Principal's instruction, no action needed</t>
        </is>
      </c>
      <c r="C19" s="11" t="inlineStr">
        <is>
          <t>Cloudflare token relocation and deletion of CLOUDFLARE.txt: Phase 2 step 6b (V23).</t>
        </is>
      </c>
      <c r="D19" s="16" t="inlineStr">
        <is>
          <t>Yes</t>
        </is>
      </c>
      <c r="E19" s="17" t="n"/>
    </row>
    <row r="20">
      <c r="A20" s="12" t="n">
        <v>16</v>
      </c>
      <c r="B20" s="11" t="inlineStr">
        <is>
          <t>Automated on the Principal's instruction, no action needed</t>
        </is>
      </c>
      <c r="C20" s="11" t="inlineStr">
        <is>
          <t>Director aliases generated from names rather than confirmed one by one (D14).</t>
        </is>
      </c>
      <c r="D20" s="16" t="inlineStr">
        <is>
          <t>Yes</t>
        </is>
      </c>
      <c r="E20" s="17" t="n"/>
    </row>
    <row r="21">
      <c r="A21" s="12" t="n">
        <v>17</v>
      </c>
      <c r="B21" s="11" t="inlineStr">
        <is>
          <t>Build-side preconditions</t>
        </is>
      </c>
      <c r="C21" s="11" t="inlineStr">
        <is>
          <t>Ubuntu Server 26.04.1 installed on the 4 TB drive with the installer's encrypted-LVM (LUKS) option (installer storage step: *Use an entire disk*, the 4 TB drive, tick *Encrypt the LVM group with LUKS*, choose a disk passphrase; Section 3.5 requires both volumes encrypted; v0.3.3: an unencrypted OS volume is a warning and the to-do os-volume-encryption, not a stop); 8 TB drive unpartitioned. No desktop needed at install time: Phase 1 step 5b installs XFCE, xrdp and Chrome. Done per the returned workbook; confirm the encryption option was taken.</t>
        </is>
      </c>
      <c r="D21" s="16" t="inlineStr">
        <is>
          <t>Yes</t>
        </is>
      </c>
      <c r="E21" s="17" t="n"/>
    </row>
    <row r="22">
      <c r="A22" s="12" t="n">
        <v>18</v>
      </c>
      <c r="B22" s="11" t="inlineStr">
        <is>
          <t>Build-side preconditions</t>
        </is>
      </c>
      <c r="C22" s="11" t="inlineStr">
        <is>
          <t>BIOS: UMA minimum, IOMMU on, fTPM on. Done. Secure Boot: enabled (D15, v0.3.3; see the Principal's actions above).</t>
        </is>
      </c>
      <c r="D22" s="16" t="inlineStr">
        <is>
          <t>Yes</t>
        </is>
      </c>
      <c r="E22" s="17" t="n"/>
    </row>
    <row r="23">
      <c r="A23" s="12" t="n">
        <v>19</v>
      </c>
      <c r="B23" s="11" t="inlineStr">
        <is>
          <t>Build-side preconditions</t>
        </is>
      </c>
      <c r="C23" s="11" t="inlineStr">
        <is>
          <t>LAN address reserved for the node on the router (DHCP reservation for the node's MAC, Wi-Fi or cable: Phase 1 uses whichever interface is up); UDP 51820 forward confirmed to that address. Done. The reservation is what keeps the forward pointing at the node; no further IP action is needed, and the VPN test from mobile data (V5) can be done whenever convenient.</t>
        </is>
      </c>
      <c r="D23" s="16" t="inlineStr">
        <is>
          <t>Yes</t>
        </is>
      </c>
      <c r="E23" s="17" t="n"/>
    </row>
    <row r="24">
      <c r="A24" s="12" t="n">
        <v>20</v>
      </c>
      <c r="B24" s="11" t="inlineStr">
        <is>
          <t>Build-side preconditions</t>
        </is>
      </c>
      <c r="C24" s="11" t="inlineStr">
        <is>
          <t>Internet bandwidth known, so the ~690 GB Phase 3 download can be planned. Done; the figure was not recorded in the workbook, so the 100 Mbps planning assumption in 15.4 stands until stated.</t>
        </is>
      </c>
      <c r="D24" s="16" t="inlineStr">
        <is>
          <t>Yes</t>
        </is>
      </c>
      <c r="E24" s="17" t="n"/>
    </row>
    <row r="25">
      <c r="A25" s="12" t="n">
        <v>21</v>
      </c>
      <c r="B25" s="11" t="inlineStr">
        <is>
          <t>Accepted resolutions</t>
        </is>
      </c>
      <c r="C25" s="11" t="inlineStr">
        <is>
          <t>C1 through C20 accepted in the returned workbook. C19 was reopened and re-decided in the Principal's favour.</t>
        </is>
      </c>
      <c r="D25" s="16" t="inlineStr">
        <is>
          <t>Yes</t>
        </is>
      </c>
      <c r="E25" s="17" t="n"/>
    </row>
    <row r="26">
      <c r="A26" s="12" t="n">
        <v>22</v>
      </c>
      <c r="B26" s="11" t="inlineStr">
        <is>
          <t>Accepted resolutions</t>
        </is>
      </c>
      <c r="C26" s="11" t="inlineStr">
        <is>
          <t>C21 through C26, new in v0.2, accepted in the returned workbook: the Ubuntu and amd64v3 rejections, the quantisation rise, the closed reserve list, the vision consolidation, and the residency-versus-generation reading.</t>
        </is>
      </c>
      <c r="D26" s="16" t="inlineStr">
        <is>
          <t>Yes</t>
        </is>
      </c>
      <c r="E26" s="17" t="n"/>
    </row>
    <row r="27">
      <c r="A27" s="12" t="n">
        <v>23</v>
      </c>
      <c r="B27" s="11" t="inlineStr">
        <is>
          <t>Accepted resolutions</t>
        </is>
      </c>
      <c r="C27" s="11" t="inlineStr">
        <is>
          <t>R9, R16, R19, R20 and R21 acknowledged in the returned workbook: two changed wording in v0.2, three were new.</t>
        </is>
      </c>
      <c r="D27" s="16" t="inlineStr">
        <is>
          <t>Yes</t>
        </is>
      </c>
      <c r="E27" s="17" t="n"/>
    </row>
    <row r="28">
      <c r="A28" s="12" t="n">
        <v>24</v>
      </c>
      <c r="B28" s="11" t="inlineStr">
        <is>
          <t>Accepted resolutions</t>
        </is>
      </c>
      <c r="C28" s="11" t="inlineStr">
        <is>
          <t>C27, new in v0.3.4: Ubuntu Server 26.04.1 kept over Fedora 44 KDE Plasma. Decided by the Principal on 2026-10-08.</t>
        </is>
      </c>
      <c r="D28" s="16" t="inlineStr">
        <is>
          <t>Yes</t>
        </is>
      </c>
      <c r="E28" s="17" t="n"/>
    </row>
    <row r="29">
      <c r="A29" s="12" t="n">
        <v>25</v>
      </c>
      <c r="B29" s="11" t="inlineStr">
        <is>
          <t>Accepted resolutions</t>
        </is>
      </c>
      <c r="C29" s="11" t="inlineStr">
        <is>
          <t>R22 to R25 to be acknowledged in the workbook (R22 and R23 new in v0.3.2, R24 and R25 new in v0.3.4).</t>
        </is>
      </c>
      <c r="D29" s="16" t="n"/>
      <c r="E29" s="17" t="n"/>
    </row>
  </sheetData>
  <autoFilter ref="A4:E29"/>
  <conditionalFormatting sqref="D5:D29">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29"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re-quantised (Section 23: the abliteration is applied to the BF16 upcast; the MXFP4 GGUF is a requant, same size and speed, the "no accuracy cost" argument below does not transfer)</t>
        </is>
      </c>
      <c r="D7" s="11" t="inlineStr">
        <is>
          <t>63 GB</t>
        </is>
      </c>
      <c r="E7" s="11" t="inlineStr">
        <is>
          <t>Same</t>
        </is>
      </c>
      <c r="F7" s="11" t="inlineStr">
        <is>
          <t>Valerie default; Ren and Arthur on explicit override</t>
        </is>
      </c>
    </row>
    <row r="8">
      <c r="A8" s="11" t="inlineStr">
        <is>
          <t>Nemotron 3 Super</t>
        </is>
      </c>
      <c r="B8" s="11" t="inlineStr">
        <is>
          <t>120B hybrid Mamba MoE, 12B active (A12B)</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 (0731 checkpoint, MIT)</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2"/>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 the native florence-community checkpoints, no remote code (Section 23)</t>
        </is>
      </c>
      <c r="D21" s="11" t="inlineStr">
        <is>
          <t>under 2 GB</t>
        </is>
      </c>
      <c r="E21" s="11" t="inlineStr">
        <is>
          <t>General</t>
        </is>
      </c>
    </row>
    <row r="22">
      <c r="A22" s="11" t="inlineStr">
        <is>
          <t>Chronos (Chronos-Bolt / Chronos-2)</t>
        </is>
      </c>
      <c r="B22" s="11" t="inlineStr">
        <is>
          <t>Time-series forecasting. TimesFM dropped in v0.3.1, its 3.0 release is non-commercial (Section 23)</t>
        </is>
      </c>
      <c r="C22" s="11" t="inlineStr">
        <is>
          <t>Green, Apache-2.0</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UI-TARS-1.5-7B</t>
        </is>
      </c>
      <c r="B25" s="11" t="inlineStr">
        <is>
          <t>Vision-driven GUI automation for RewardPay and Wix design. UI-TARS 2.0 has no open weights (Section 23, watch-list)</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 Licence CC-BY-NC-4.0, recorded under 16.5</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4.5 LTS,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row r="37">
      <c r="A37" s="3" t="inlineStr">
        <is>
          <t>Engine watch-list: considered, not adopted (15.5)</t>
        </is>
      </c>
    </row>
    <row r="38">
      <c r="A38" s="10" t="inlineStr">
        <is>
          <t>Engine</t>
        </is>
      </c>
      <c r="B38" s="10" t="inlineStr">
        <is>
          <t>What it does</t>
        </is>
      </c>
      <c r="C38" s="10" t="inlineStr">
        <is>
          <t>Why not now</t>
        </is>
      </c>
      <c r="D38" s="10" t="inlineStr">
        <is>
          <t>What would change the answer</t>
        </is>
      </c>
      <c r="E38" s="10" t="inlineStr">
        <is>
          <t>Would replace</t>
        </is>
      </c>
    </row>
    <row r="39">
      <c r="A39" s="11" t="inlineStr">
        <is>
          <t>UI-TARS 2.0</t>
        </is>
      </c>
      <c r="B39" s="11" t="inlineStr">
        <is>
          <t>Vision-driven GUI agent, successor to the 1.5-7B build</t>
        </is>
      </c>
      <c r="C39" s="11" t="inlineStr">
        <is>
          <t>Technical report only, no open weights as of September 2026</t>
        </is>
      </c>
      <c r="D39" s="11" t="inlineStr">
        <is>
          <t>An open-weights release</t>
        </is>
      </c>
      <c r="E39" s="11" t="inlineStr">
        <is>
          <t>UI-TARS-1.5-7B</t>
        </is>
      </c>
    </row>
    <row r="40">
      <c r="A40" s="11" t="inlineStr">
        <is>
          <t>Qwen3.8-LiveTranslate (19 Sep 2026)</t>
        </is>
      </c>
      <c r="B40" s="11" t="inlineStr">
        <is>
          <t>Real-time simultaneous interpretation: 60 languages understood, 29 spoken, about 2.3 s lag</t>
        </is>
      </c>
      <c r="C40" s="11" t="inlineStr">
        <is>
          <t>Hosted API only (Alibaba Cloud Model Studio, QwenCloud, WebSocket). No open weights. Fails the zero-cloud rule on inference off-node and audio leaving the machine</t>
        </is>
      </c>
      <c r="D40" s="11" t="inlineStr">
        <is>
          <t>An open-weights release. Qwen has released weights for Qwen3-Omni, so this is plausible</t>
        </is>
      </c>
      <c r="E40" s="11" t="inlineStr">
        <is>
          <t>Nothing. Live interpretation is an open gap, the Whisper to engine to Kokoro pipeline does consecutive translation only, in Kokoro's eight languages</t>
        </is>
      </c>
    </row>
    <row r="41">
      <c r="A41" s="11" t="inlineStr">
        <is>
          <t>Qwen-Image-2.1 (20 Sep 2026)</t>
        </is>
      </c>
      <c r="B41" s="11" t="inlineStr">
        <is>
          <t>Image generation and editing in one 7B checkpoint: native RGBA, 2K, up to ten reference images, strongest text-in-image of its class, about 14 GB BF16, GGUF available, plain BF16 path on gfx1151</t>
        </is>
      </c>
      <c r="C41" s="11" t="inlineStr">
        <is>
          <t>Qwen Research License, non-commercial only. Same restriction that excluded Fish Audio S2 (C20). Not a peer of Qwen2.5-VL-72B, which reads images, this one makes them</t>
        </is>
      </c>
      <c r="D41" s="11" t="inlineStr">
        <is>
          <t>Re-licensing to Apache-2.0 (Qwen did this for Qwen2.5 within months) or a commercial licence obtained by the Principal</t>
        </is>
      </c>
      <c r="E41" s="11" t="inlineStr">
        <is>
          <t>FLUX.1-dev outright: half the footprint, generate and edit in one model</t>
        </is>
      </c>
    </row>
    <row r="42">
      <c r="A42" s="2" t="inlineStr">
        <is>
          <t>Decision recorded 2026-09-21: FLUX.1-dev stays as the image engine, quality being the deciding factor. FLUX.1-dev carries the same non-commercial licence as Qwen-Image-2.1, so the licence does not separate them; validation on gfx1151 does.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t>
        </is>
      </c>
      <c r="C18" s="11" t="inlineStr">
        <is>
          <t>Drafted, held until the Principal approves</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5"/>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confirm Ubuntu Server 26.04.1, kernel 7.0, both NVMe drives present, fTPM enabled (V2), and the GPU present and identified from lspci and /sys/class/drm. The rocminfo confirmation of gfx1151 belongs to the Phase 4 container self-test (V11), because ROCm is never installed on the host (3.4).</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 *v0.3.4: tpm2-tools is installed before the update and every initramfs is rebuilt with TPM2 support before the reboot (S32); time sync is proven through the closed firewall (S35).*</t>
        </is>
      </c>
    </row>
    <row r="17">
      <c r="A17" s="11" t="inlineStr">
        <is>
          <t>Phase 1</t>
        </is>
      </c>
      <c r="B17" s="11" t="inlineStr">
        <is>
          <t>5. Reboot. Post-reboot: vulkaninfo shows the Radeon 8065S, and the GTT pool read from /sys/class/drm matches the kernel parameters (V3, first half). The llama-cli --list-devices confirmation of ~170 GB usable moves to the Phase 2 gate, since llama.cpp is installed in Phase 2 (V3, second half).</t>
        </is>
      </c>
    </row>
    <row r="18">
      <c r="A18" s="11" t="inlineStr">
        <is>
          <t>Phase 1</t>
        </is>
      </c>
      <c r="B18" s="11" t="inlineStr">
        <is>
          <t>5b. XFCE and xrdp installed, bound to LAN and WireGuard only; Google Chrome in the desktop session (v0.3.3); one RDP connection tested from the Principal's Windows PC (V19; no connection within 10 minutes is deferred with a to-do, not failed).</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and V19 results. Phase 2 does not start on a red row. V1 is recorded as informational only, since the node runs on Wi-Fi.</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6d. AEGIS sandbox image (Section 16.4): built and proved by killing a runaway process under the memory cap (V17). *Added in v0.3.2; the build showed Section 17 had no home for V17.*</t>
        </is>
      </c>
    </row>
    <row r="31">
      <c r="A31" s="11" t="inlineStr">
        <is>
          <t>Phase 2</t>
        </is>
      </c>
      <c r="B31" s="11" t="inlineStr">
        <is>
          <t>7. restic repository on the second drive; nightly timer; first backup; first restore test.</t>
        </is>
      </c>
    </row>
    <row r="32">
      <c r="A32" s="11" t="inlineStr">
        <is>
          <t>Phase 2</t>
        </is>
      </c>
      <c r="B32" s="11" t="inlineStr">
        <is>
          <t>8. Sentinel timer, enabled with the feeds closed under D6: CoinDesk, an ASX and US index feed, RSS news, node telemetry. Pruning timer.</t>
        </is>
      </c>
    </row>
    <row r="33">
      <c r="A33" s="11" t="inlineStr">
        <is>
          <t>Phase 2</t>
        </is>
      </c>
      <c r="B33" s="11" t="inlineStr">
        <is>
          <t>9. Windows PC share mount unit, on-demand. *Skipped on Day 1 (v0.3.3, Section 12.4): runs when WINDOWS_SHARE and the credential file exist.*</t>
        </is>
      </c>
    </row>
    <row r="34">
      <c r="A34" s="11" t="inlineStr">
        <is>
          <t>Phase 2</t>
        </is>
      </c>
      <c r="B34" s="11" t="inlineStr">
        <is>
          <t>9b. Vault (Section 11): gocryptfs initialised with a passphrase the Principal types once, the open/lock/idle mechanics proved, and the memory rule proved (V18). *Added in v0.3.2.*</t>
        </is>
      </c>
    </row>
    <row r="35">
      <c r="A35" s="11" t="inlineStr">
        <is>
          <t>Phase 2</t>
        </is>
      </c>
      <c r="B35" s="11" t="inlineStr">
        <is>
          <t>10. Gate: every service healthy; V3 second half (llama-cli --list-devices reports ~170 GB), V6, V7 (listening test, deferred if the reference recordings do not exist yet), V12, V13, V14 first half, V15, V16, V17, V18, V20, V23 recorded, plus V10's resident-router half. The Arbiter's refusal logic is unit-tested here against stub footprints; the real two-engine test is V21 in Phase 3. Tool installs whose inputs could not be verified in advance (Bonsai, Blender, OpenStudio/EnergyPlus, MCP4IFC, the build container) record a deferred T-&lt;tool&gt; row and never block the gate; --force 06 re-runs them.</t>
        </is>
      </c>
    </row>
    <row r="36">
      <c r="A36" s="11" t="inlineStr">
        <is>
          <t>Phase 3</t>
        </is>
      </c>
      <c r="B36" s="11" t="inlineStr">
        <is>
          <t>1. Pull, with checksum verification, at the quantisations fixed in Section 5.1: gpt-oss-120b (MXFP4), gpt-oss-120b abliterated (MXFP4), Nemotron 3 Super (Q8_0), Qwen3.5-122B-A10B (Q8_0), DeepSeek V4 Flash (UD-Q4_K_XL), Qwen2.5-VL-72B (Q8_0), Meditron-70B (Q8_0). About 690 GB.</t>
        </is>
      </c>
    </row>
    <row r="37">
      <c r="A37" s="11" t="inlineStr">
        <is>
          <t>Phase 3</t>
        </is>
      </c>
      <c r="B37" s="11" t="inlineStr">
        <is>
          <t>2. For each model, in turn: load through the Engine Arbiter; confirm the quantised KV cache actually applied (V4); measure decode and prefill at 512 and 8k tokens; measure swap time; unload; confirm memory returned.</t>
        </is>
      </c>
    </row>
    <row r="38">
      <c r="A38" s="11" t="inlineStr">
        <is>
          <t>Phase 3</t>
        </is>
      </c>
      <c r="B38" s="11" t="inlineStr">
        <is>
          <t>3. Two-residency test: load gpt-oss-120b and Qwen2.5-VL-72B together, confirm both hold at ~142 GB, and confirm a second generation request queues rather than running concurrently (V14, V21).</t>
        </is>
      </c>
    </row>
    <row r="39">
      <c r="A39" s="11" t="inlineStr">
        <is>
          <t>Phase 3</t>
        </is>
      </c>
      <c r="B39"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t>
        </is>
      </c>
    </row>
    <row r="40">
      <c r="A40" s="11" t="inlineStr">
        <is>
          <t>Phase 4</t>
        </is>
      </c>
      <c r="B40" s="11" t="inlineStr">
        <is>
          <t>1. Inside the base ROCm container, confirm rocminfo reports gfx1151, then self-test the community PyTorch wheel: tensor on GPU, matmul, a small diffusion step (V11). This is the first and only place ROCm runs.</t>
        </is>
      </c>
    </row>
    <row r="41">
      <c r="A41" s="11" t="inlineStr">
        <is>
          <t>Phase 4</t>
        </is>
      </c>
      <c r="B41" s="11" t="inlineStr">
        <is>
          <t>2. Build green engines in order of value: FLUX.1-dev, Wan2.2, Florence-2, TimesFM or Chronos, UI-TARS 2.0, Rad-DINO, SAM 2 with the extension flag, Stable Audio Open, CosyVoice2, OpenVLA. The vision engine is not here; Qwen2.5-VL-72B is a GGUF engine pulled in Phase 3.</t>
        </is>
      </c>
    </row>
    <row r="42">
      <c r="A42" s="11" t="inlineStr">
        <is>
          <t>Phase 4</t>
        </is>
      </c>
      <c r="B42" s="11" t="inlineStr">
        <is>
          <t>3. Attempt yellow engines: TRELLIS, Blender Cycles HIP with CPU fallback. Log pass or fail, never block.</t>
        </is>
      </c>
    </row>
    <row r="43">
      <c r="A43" s="11" t="inlineStr">
        <is>
          <t>Phase 4</t>
        </is>
      </c>
      <c r="B43" s="11" t="inlineStr">
        <is>
          <t>4. Verify PointLLM (V8) and Clay or Prithvi (V9); mark deferred if they fail.</t>
        </is>
      </c>
    </row>
    <row r="44">
      <c r="A44" s="11" t="inlineStr">
        <is>
          <t>Phase 4</t>
        </is>
      </c>
      <c r="B44" s="11" t="inlineStr">
        <is>
          <t>5. Register every passing engine with the Engine Arbiter with its measured footprint.</t>
        </is>
      </c>
    </row>
    <row r="45">
      <c r="A45" s="11" t="inlineStr">
        <is>
          <t>Phase 4</t>
        </is>
      </c>
      <c r="B45"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35"/>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s>
  <sheetData>
    <row r="1">
      <c r="A1" s="1" t="inlineStr">
        <is>
          <t>Ref Hardware</t>
        </is>
      </c>
    </row>
    <row r="2">
      <c r="A2" s="2" t="inlineStr">
        <is>
          <t>Sections 2 and 4.1. The machine v0.2 is built for,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Linux LLM tooling is Windows-first. Zero design dependency</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~180 GB on Linux via GTT, of which ~170 GB is free for engines once the resident set is subtracted</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Memory budget</t>
        </is>
      </c>
    </row>
    <row r="18">
      <c r="A18" s="10" t="inlineStr">
        <is>
          <t>Consumer</t>
        </is>
      </c>
      <c r="B18" s="10" t="inlineStr">
        <is>
          <t>Budget</t>
        </is>
      </c>
      <c r="C18" s="10" t="inlineStr">
        <is>
          <t>Notes</t>
        </is>
      </c>
    </row>
    <row r="19">
      <c r="A19" s="11" t="inlineStr">
        <is>
          <t>Ubuntu Server, XFCE, Docker, Cockpit</t>
        </is>
      </c>
      <c r="B19" s="11" t="inlineStr">
        <is>
          <t>4 GB</t>
        </is>
      </c>
      <c r="C19" s="11" t="inlineStr">
        <is>
          <t>XFCE adds roughly 0.5 GB over the headless figure in v0.1</t>
        </is>
      </c>
    </row>
    <row r="20">
      <c r="A20" s="11" t="inlineStr">
        <is>
          <t>Open WebUI, ChromaDB, graph store, embedding model</t>
        </is>
      </c>
      <c r="B20" s="11" t="inlineStr">
        <is>
          <t>4 GB</t>
        </is>
      </c>
      <c r="C20" s="11" t="inlineStr"/>
    </row>
    <row r="21">
      <c r="A21" s="11" t="inlineStr">
        <is>
          <t>Eleanor's resident router model, 4B class</t>
        </is>
      </c>
      <c r="B21" s="11" t="inlineStr">
        <is>
          <t>4 GB</t>
        </is>
      </c>
      <c r="C21" s="11" t="inlineStr">
        <is>
          <t>Always loaded</t>
        </is>
      </c>
    </row>
    <row r="22">
      <c r="A22" s="11" t="inlineStr">
        <is>
          <t>Kokoro, Whisper Large-v3-Turbo, PyAnnote</t>
        </is>
      </c>
      <c r="B22" s="11" t="inlineStr">
        <is>
          <t>3 GB</t>
        </is>
      </c>
      <c r="C22" s="11" t="inlineStr">
        <is>
          <t>Always loaded</t>
        </is>
      </c>
    </row>
    <row r="23">
      <c r="A23" s="11" t="inlineStr">
        <is>
          <t>Orchestrator, Celery workers, Redis, Sentinel, ntfy, WG-Easy</t>
        </is>
      </c>
      <c r="B23" s="11" t="inlineStr">
        <is>
          <t>1–2 GB</t>
        </is>
      </c>
      <c r="C23" s="11" t="inlineStr"/>
    </row>
    <row r="24">
      <c r="A24" s="11" t="inlineStr">
        <is>
          <t>Always-resident subtotal</t>
        </is>
      </c>
      <c r="B24" s="11" t="inlineStr">
        <is>
          <t>~17 GB</t>
        </is>
      </c>
      <c r="C24" s="11" t="inlineStr"/>
    </row>
    <row r="25">
      <c r="A25" s="11" t="inlineStr">
        <is>
          <t>Usable for engines</t>
        </is>
      </c>
      <c r="B25" s="11" t="inlineStr">
        <is>
          <t>~170 GB</t>
        </is>
      </c>
      <c r="C25" s="11" t="inlineStr">
        <is>
          <t>GTT pool (~180 GB) minus the resident set above. Every figure in the table below is measured against this 170 GB, not against the raw 192 GB. VERIFY V3 on first boot before anything depends on it</t>
        </is>
      </c>
    </row>
    <row r="27">
      <c r="A27" s="3" t="inlineStr">
        <is>
          <t>What fits together</t>
        </is>
      </c>
    </row>
    <row r="28">
      <c r="A28" s="10" t="inlineStr">
        <is>
          <t>Combination</t>
        </is>
      </c>
      <c r="B28" s="10" t="inlineStr">
        <is>
          <t>Total</t>
        </is>
      </c>
      <c r="C28" s="10" t="inlineStr">
        <is>
          <t>Verdict</t>
        </is>
      </c>
    </row>
    <row r="29">
      <c r="A29" s="11" t="inlineStr">
        <is>
          <t>gpt-oss-120b + Qwen2.5-VL-72B, both resident</t>
        </is>
      </c>
      <c r="B29" s="11" t="inlineStr">
        <is>
          <t>142 GB</t>
        </is>
      </c>
      <c r="C29" s="11" t="inlineStr">
        <is>
          <t>~28 GB for both caches. The everyday pairing: text and vision with no swap between them. The vision engine runs at 2 slots rather than 8 while co-resident (Section 4.3)</t>
        </is>
      </c>
    </row>
    <row r="30">
      <c r="A30" s="11" t="inlineStr">
        <is>
          <t>gpt-oss-120b + gpt-oss-120b abliterated</t>
        </is>
      </c>
      <c r="B30" s="11" t="inlineStr">
        <is>
          <t>126 GB</t>
        </is>
      </c>
      <c r="C30" s="11" t="inlineStr">
        <is>
          <t>~44 GB for both caches</t>
        </is>
      </c>
    </row>
    <row r="31">
      <c r="A31" s="11" t="inlineStr">
        <is>
          <t>Nemotron Q8_0 alone</t>
        </is>
      </c>
      <c r="B31" s="11" t="inlineStr">
        <is>
          <t>120–123 GB</t>
        </is>
      </c>
      <c r="C31" s="11" t="inlineStr">
        <is>
          <t>Comfortable, ~47 GB for cache</t>
        </is>
      </c>
    </row>
    <row r="32">
      <c r="A32" s="11" t="inlineStr">
        <is>
          <t>Qwen3.5-122B Q8_0 alone</t>
        </is>
      </c>
      <c r="B32" s="11" t="inlineStr">
        <is>
          <t>130 GB</t>
        </is>
      </c>
      <c r="C32" s="11" t="inlineStr">
        <is>
          <t>Comfortable, ~40 GB for cache</t>
        </is>
      </c>
    </row>
    <row r="33">
      <c r="A33" s="11" t="inlineStr">
        <is>
          <t>Nemotron Q8_0 + gpt-oss-120b, Ren and Arthur together</t>
        </is>
      </c>
      <c r="B33" s="11" t="inlineStr">
        <is>
          <t>186 GB</t>
        </is>
      </c>
      <c r="C33" s="11" t="inlineStr">
        <is>
          <t>Does not fit. Accepted by the Principal: hemispheres swap rather than co-reside. Nemotron at Q6_K (~95 GB) would restore it if ever wanted</t>
        </is>
      </c>
    </row>
    <row r="34">
      <c r="A34" s="11" t="inlineStr">
        <is>
          <t>DeepSeek V4 Flash UD-Q4_K_XL</t>
        </is>
      </c>
      <c r="B34" s="11" t="inlineStr">
        <is>
          <t>155 GB</t>
        </is>
      </c>
      <c r="C34" s="11" t="inlineStr">
        <is>
          <t>Runs alone. The Arbiter unloads any co-resident engine first. ~10–15 GB margin, so its context is capped accordingly</t>
        </is>
      </c>
    </row>
    <row r="35">
      <c r="A35" s="2" t="inlineStr">
        <is>
          <t>Two engines may be resident; exactly one generates at a time, everywhere, including Celery jobs (Section 4.2, C26).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2026-10-08T15:16:01Z</dcterms:created>
  <dcterms:modified xsi:type="dcterms:W3CDTF">2026-10-08T15:16:01Z</dcterms:modified>
</cp:coreProperties>
</file>