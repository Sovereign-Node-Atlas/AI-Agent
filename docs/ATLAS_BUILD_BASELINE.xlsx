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s>
  <definedNames>
    <definedName name="_xlnm._FilterDatabase" localSheetId="1" hidden="1">'1 Decisions'!$A$4:$F$18</definedName>
    <definedName name="_xlnm._FilterDatabase" localSheetId="2" hidden="1">'2 Resolutions'!$A$4:$E$30</definedName>
    <definedName name="_xlnm._FilterDatabase" localSheetId="3" hidden="1">'3 Risks'!$A$4:$G$25</definedName>
    <definedName name="_xlnm._FilterDatabase" localSheetId="4" hidden="1">'4 Verification'!$A$4:$E$27</definedName>
    <definedName name="_xlnm._FilterDatabase" localSheetId="5" hidden="1">'5 Checklist'!$A$4:$E$18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v0.2 (2026-09-21). Every decision is closed. Nothing has been executed; the Day 1 script is written against this.</t>
        </is>
      </c>
    </row>
    <row r="4">
      <c r="A4" s="3" t="inlineStr">
        <is>
          <t>How to use this workbook</t>
        </is>
      </c>
    </row>
    <row r="5">
      <c r="A5" s="4" t="inlineStr">
        <is>
          <t>1. Sheets 1 to 3 are a record of what you already decided; they need no further work unless you have changed your mind. Sheet 4 fills during Day 1. Sheet 5 lists what is still outstanding.</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(engines, cabinet, domains, task forces, integrations, voice, multimodal, governance, Day 1) for checking against.</t>
        </is>
      </c>
    </row>
    <row r="10">
      <c r="A10" s="4" t="inlineStr">
        <is>
          <t>6. Three things are genuinely outstanding, all on sheet 5: store the USB recovery drive away from the node, create the Google OAuth client, and source the two voice recordings.</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Decisions'!$A$5:$A$18)</f>
        <v/>
      </c>
      <c r="C21" s="12">
        <f>B21-G21</f>
        <v/>
      </c>
      <c r="D21" s="12">
        <f>COUNTIF('1 Decisions'!$E$5:$E$18,"Confirmed")</f>
        <v/>
      </c>
      <c r="E21" s="12">
        <f>0</f>
        <v/>
      </c>
      <c r="F21" s="12">
        <f>COUNTIF('1 Decisions'!$E$5:$E$18,"Changed my mind")</f>
        <v/>
      </c>
      <c r="G21" s="12">
        <f>COUNTBLANK('1 Decisions'!$E$5:$E$18)</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Risks'!$A$5:$A$25)</f>
        <v/>
      </c>
      <c r="C23" s="12">
        <f>B23-G23</f>
        <v/>
      </c>
      <c r="D23" s="12">
        <f>COUNTIF('3 Risks'!$F$5:$F$25,"Yes")</f>
        <v/>
      </c>
      <c r="E23" s="12">
        <f>0</f>
        <v/>
      </c>
      <c r="F23" s="12">
        <f>COUNTIF('3 Risks'!$F$5:$F$25,"Discuss")</f>
        <v/>
      </c>
      <c r="G23" s="12">
        <f>COUNTBLANK('3 Risks'!$F$5:$F$25)</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Checklist'!$A$5:$A$18)</f>
        <v/>
      </c>
      <c r="C25" s="12">
        <f>B25-G25</f>
        <v/>
      </c>
      <c r="D25" s="12">
        <f>COUNTIF('5 Checklist'!$D$5:$D$18,"Yes")+COUNTIF('5 Checklist'!$D$5:$D$18,"N/A")</f>
        <v/>
      </c>
      <c r="E25" s="12">
        <f>0</f>
        <v/>
      </c>
      <c r="F25" s="12">
        <f>COUNTIF('5 Checklist'!$D$5:$D$18,"No")</f>
        <v/>
      </c>
      <c r="G25" s="12">
        <f>COUNTBLANK('5 Checklist'!$D$5:$D$18)</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fourteen are closed. This sheet is a record: change a row only if you have changed your mind since the workbook was returned.</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sheetData>
  <autoFilter ref="A4:F18"/>
  <conditionalFormatting sqref="E5:E18">
    <cfRule type="cellIs" priority="1" operator="equal" dxfId="0">
      <formula>"Confirmed"</formula>
    </cfRule>
    <cfRule type="cellIs" priority="2" operator="equal" dxfId="1">
      <formula>"Changed my mind"</formula>
    </cfRule>
  </conditionalFormatting>
  <dataValidations count="1">
    <dataValidation sqref="E5:E18"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C20 are already accepted and marked. C21 to C26 are new in v0.2 and blank: please read and answer those six.</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t>
        </is>
      </c>
      <c r="C23" s="11" t="inlineStr">
        <is>
          <t>Server with Cockpit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n"/>
      <c r="E25" s="17" t="n"/>
    </row>
    <row r="26">
      <c r="A26" s="12" t="inlineStr">
        <is>
          <t>C22</t>
        </is>
      </c>
      <c r="B26" s="11" t="inlineStr">
        <is>
          <t>Whether to adopt the amd64v3 or amd64v4 optimised archives</t>
        </is>
      </c>
      <c r="C26" s="11" t="inlineStr">
        <is>
          <t>Neither. The gain is on CPU-bound distribution packages, not GPU inference (3.1)</t>
        </is>
      </c>
      <c r="D26" s="16" t="n"/>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n"/>
      <c r="E27" s="17" t="n"/>
    </row>
    <row r="28">
      <c r="A28" s="12" t="inlineStr">
        <is>
          <t>C24</t>
        </is>
      </c>
      <c r="B28" s="11" t="inlineStr">
        <is>
          <t>Two domains held in reserve pending a stated need (old D5)</t>
        </is>
      </c>
      <c r="C28" s="11" t="inlineStr">
        <is>
          <t>Reserve closed. Six new domains, five subspecialty folds (8.2)</t>
        </is>
      </c>
      <c r="D28" s="16" t="n"/>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n"/>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n"/>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Already-acknowledged risks are marked. Five rows are blank and need you: R9 and R16 changed wording in v0.2, and R19 to R21 are new.</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n"/>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n"/>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n"/>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n"/>
      <c r="G16" s="17" t="n"/>
    </row>
    <row r="17">
      <c r="A17" s="12" t="inlineStr">
        <is>
          <t>R10</t>
        </is>
      </c>
      <c r="B17" s="11" t="inlineStr">
        <is>
          <t>Sustained thermal load in a small chassis</t>
        </is>
      </c>
      <c r="C17" s="11" t="inlineStr">
        <is>
          <t>Medium</t>
        </is>
      </c>
      <c r="D17" s="11" t="inlineStr">
        <is>
          <t>Low</t>
        </is>
      </c>
      <c r="E17" s="11" t="inlineStr">
        <is>
          <t>Monitor temperatures in Cockpit, the 130 W sustained rating is desktop-class</t>
        </is>
      </c>
      <c r="F17" s="16" t="inlineStr">
        <is>
          <t>Yes</t>
        </is>
      </c>
      <c r="G17" s="17" t="n"/>
    </row>
    <row r="18">
      <c r="A18" s="12" t="inlineStr">
        <is>
          <t>R11</t>
        </is>
      </c>
      <c r="B18" s="11" t="inlineStr">
        <is>
          <t>CGNAT prevents inbound WireGuard</t>
        </is>
      </c>
      <c r="C18" s="11" t="inlineStr">
        <is>
          <t>Low, port forward already succeeded</t>
        </is>
      </c>
      <c r="D18" s="11" t="inlineStr">
        <is>
          <t>High for remote access</t>
        </is>
      </c>
      <c r="E18" s="11" t="inlineStr">
        <is>
          <t>V5 from mobile data, static IP from the ISP if needed</t>
        </is>
      </c>
      <c r="F18" s="16" t="inlineStr">
        <is>
          <t>Yes</t>
        </is>
      </c>
      <c r="G18" s="17" t="n"/>
    </row>
    <row r="19">
      <c r="A19" s="12" t="inlineStr">
        <is>
          <t>R12</t>
        </is>
      </c>
      <c r="B19" s="11" t="inlineStr">
        <is>
          <t>Fictitious directors corresponding as humans, AI non-disclosure</t>
        </is>
      </c>
      <c r="C19" s="11" t="inlineStr">
        <is>
          <t>Medium</t>
        </is>
      </c>
      <c r="D19" s="11" t="inlineStr">
        <is>
          <t>Medium to high, legal</t>
        </is>
      </c>
      <c r="E19" s="11" t="inlineStr">
        <is>
          <t>Gideon's sensitive-tier check, approval gate, 16.5</t>
        </is>
      </c>
      <c r="F19" s="16" t="inlineStr">
        <is>
          <t>Yes</t>
        </is>
      </c>
      <c r="G19" s="17" t="n"/>
    </row>
    <row r="20">
      <c r="A20" s="12" t="inlineStr">
        <is>
          <t>R13</t>
        </is>
      </c>
      <c r="B20" s="11" t="inlineStr">
        <is>
          <t>Abliterated engine used for external output</t>
        </is>
      </c>
      <c r="C20" s="11" t="inlineStr">
        <is>
          <t>Medium</t>
        </is>
      </c>
      <c r="D20" s="11" t="inlineStr">
        <is>
          <t>Medium</t>
        </is>
      </c>
      <c r="E20" s="11" t="inlineStr">
        <is>
          <t>Abliterated output always passes the same gate, never routine tier</t>
        </is>
      </c>
      <c r="F20" s="16" t="inlineStr">
        <is>
          <t>Yes</t>
        </is>
      </c>
      <c r="G20" s="17" t="n"/>
    </row>
    <row r="21">
      <c r="A21" s="12" t="inlineStr">
        <is>
          <t>R14</t>
        </is>
      </c>
      <c r="B21" s="11" t="inlineStr">
        <is>
          <t>Chatterbox continuation quirk in production speech</t>
        </is>
      </c>
      <c r="C21" s="11" t="inlineStr">
        <is>
          <t>Medium</t>
        </is>
      </c>
      <c r="D21" s="11" t="inlineStr">
        <is>
          <t>Low</t>
        </is>
      </c>
      <c r="E21" s="11" t="inlineStr">
        <is>
          <t>V7 testing, Kokoro fallback per line</t>
        </is>
      </c>
      <c r="F21" s="16" t="inlineStr">
        <is>
          <t>Yes</t>
        </is>
      </c>
      <c r="G21" s="17" t="n"/>
    </row>
    <row r="22">
      <c r="A22" s="12" t="inlineStr">
        <is>
          <t>R15</t>
        </is>
      </c>
      <c r="B22" s="11" t="inlineStr">
        <is>
          <t>Prompt bloat from domain injection makes every dispatch slow</t>
        </is>
      </c>
      <c r="C22" s="11" t="inlineStr">
        <is>
          <t>High without limits</t>
        </is>
      </c>
      <c r="D22" s="11" t="inlineStr">
        <is>
          <t>High, usability</t>
        </is>
      </c>
      <c r="E22" s="11" t="inlineStr">
        <is>
          <t>Three-card limit, compact cards, stable-prefix ordering (8.4, 4.4)</t>
        </is>
      </c>
      <c r="F22" s="16" t="inlineStr">
        <is>
          <t>Yes</t>
        </is>
      </c>
      <c r="G22" s="17" t="n"/>
    </row>
    <row r="23">
      <c r="A23" s="12" t="inlineStr">
        <is>
          <t>R16</t>
        </is>
      </c>
      <c r="B23" s="11" t="inlineStr">
        <is>
          <t>Backup passphrase or LUKS key lost with the node</t>
        </is>
      </c>
      <c r="C23" s="11" t="inlineStr">
        <is>
          <t>Low</t>
        </is>
      </c>
      <c r="D23" s="11" t="inlineStr">
        <is>
          <t>Catastrophic</t>
        </is>
      </c>
      <c r="E23"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3" s="16" t="n"/>
      <c r="G23" s="17" t="n"/>
    </row>
    <row r="24">
      <c r="A24" s="12" t="inlineStr">
        <is>
          <t>R17</t>
        </is>
      </c>
      <c r="B24" s="11" t="inlineStr">
        <is>
          <t>PyAnnote gated model not accepted, diarisation silently absent</t>
        </is>
      </c>
      <c r="C24" s="11" t="inlineStr">
        <is>
          <t>Medium</t>
        </is>
      </c>
      <c r="D24" s="11" t="inlineStr">
        <is>
          <t>Low</t>
        </is>
      </c>
      <c r="E24" s="11" t="inlineStr">
        <is>
          <t>V6</t>
        </is>
      </c>
      <c r="F24" s="16" t="inlineStr">
        <is>
          <t>Yes</t>
        </is>
      </c>
      <c r="G24" s="17" t="n"/>
    </row>
    <row r="25">
      <c r="A25" s="12" t="inlineStr">
        <is>
          <t>R18</t>
        </is>
      </c>
      <c r="B25" s="11" t="inlineStr">
        <is>
          <t>Continuous vision enabled by drift rather than decision</t>
        </is>
      </c>
      <c r="C25" s="11" t="inlineStr">
        <is>
          <t>Low</t>
        </is>
      </c>
      <c r="D25" s="11" t="inlineStr">
        <is>
          <t>High, privacy</t>
        </is>
      </c>
      <c r="E25" s="11" t="inlineStr">
        <is>
          <t>Separate capability flag under Alaric, logged, D8 item 7</t>
        </is>
      </c>
      <c r="F25" s="16" t="inlineStr">
        <is>
          <t>Yes</t>
        </is>
      </c>
      <c r="G25" s="17" t="n"/>
    </row>
  </sheetData>
  <autoFilter ref="A4:G25"/>
  <conditionalFormatting sqref="F5:F25">
    <cfRule type="cellIs" priority="1" operator="equal" dxfId="0">
      <formula>"Yes"</formula>
    </cfRule>
    <cfRule type="cellIs" priority="2" operator="equal" dxfId="1">
      <formula>"Discuss"</formula>
    </cfRule>
  </conditionalFormatting>
  <dataValidations count="1">
    <dataValidation sqref="F5:F25"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rocminfo reports gfx1151, kernel parameters accepted on 7.0, and llama-cli --list-devices reports ~170 GB usable</t>
        </is>
      </c>
      <c r="C7" s="11" t="inlineStr">
        <is>
          <t>Phase 1 pre-flight and post-reboot</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t>
        </is>
      </c>
      <c r="C14" s="11" t="inlineStr">
        <is>
          <t>Phase 3 gate</t>
        </is>
      </c>
      <c r="D14" s="16" t="inlineStr">
        <is>
          <t>Not yet run</t>
        </is>
      </c>
      <c r="E14" s="17" t="n"/>
    </row>
    <row r="15">
      <c r="A15" s="12" t="inlineStr">
        <is>
          <t>V11</t>
        </is>
      </c>
      <c r="B15" s="11" t="inlineStr">
        <is>
          <t>Community PyTorch ROCm wheel passes tensor, matmul, and diffusion self-tests in the container</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 second large load while one is resident, and downgrades a Deep Think depth when the projected footprint exceeds budget</t>
        </is>
      </c>
      <c r="C18" s="11" t="inlineStr">
        <is>
          <t>Phase 2 gate</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Rows already marked Yes are done or automated. Nothing runs until every row reads Yes or N/A.</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Store the USB recovery drive away from the node, not beside it (R16).</t>
        </is>
      </c>
      <c r="D8" s="16" t="n"/>
      <c r="E8" s="17" t="n"/>
    </row>
    <row r="9">
      <c r="A9" s="12" t="n">
        <v>5</v>
      </c>
      <c r="B9" s="11" t="inlineStr">
        <is>
          <t>Principal's actions — what is genuinely left</t>
        </is>
      </c>
      <c r="C9" s="11" t="inlineStr">
        <is>
          <t>Create the Google Cloud OAuth client for Gmail, Calendar and Drive, and be reachable for roughly five minutes during the Phase 2 pause (V20). This one step cannot be automated: Google requires the account owner to click Allow.</t>
        </is>
      </c>
      <c r="D9" s="16" t="n"/>
      <c r="E9" s="17" t="n"/>
    </row>
    <row r="10">
      <c r="A10" s="12" t="n">
        <v>6</v>
      </c>
      <c r="B10" s="11" t="inlineStr">
        <is>
          <t>Principal's actions — what is genuinely left</t>
        </is>
      </c>
      <c r="C10" s="11" t="inlineStr">
        <is>
          <t>Source reference recordings for Alaric's gravelly voice and, if the British male presets collide, Gideon's. Until then both fall back to the nearest Kokoro preset and V7 is recorded as deferred, not failed.</t>
        </is>
      </c>
      <c r="D10" s="16" t="n"/>
      <c r="E10" s="17" t="n"/>
    </row>
    <row r="11">
      <c r="A11" s="12" t="n">
        <v>7</v>
      </c>
      <c r="B11" s="11" t="inlineStr">
        <is>
          <t>Principal's actions — what is genuinely left</t>
        </is>
      </c>
      <c r="C11" s="11" t="inlineStr">
        <is>
          <t>Have a monitor and keyboard available for Phase 1 only, in case first boot needs a hand.</t>
        </is>
      </c>
      <c r="D11" s="16" t="n"/>
      <c r="E11" s="17" t="n"/>
    </row>
    <row r="12">
      <c r="A12" s="12" t="n">
        <v>8</v>
      </c>
      <c r="B12" s="11" t="inlineStr">
        <is>
          <t>Automated on the Principal's instruction, no action needed</t>
        </is>
      </c>
      <c r="C12" s="11" t="inlineStr">
        <is>
          <t>Cloudflare token relocation and deletion of CLOUDFLARE.txt: Phase 2 step 6b (V23).</t>
        </is>
      </c>
      <c r="D12" s="16" t="inlineStr">
        <is>
          <t>Yes</t>
        </is>
      </c>
      <c r="E12" s="17" t="n"/>
    </row>
    <row r="13">
      <c r="A13" s="12" t="n">
        <v>9</v>
      </c>
      <c r="B13" s="11" t="inlineStr">
        <is>
          <t>Automated on the Principal's instruction, no action needed</t>
        </is>
      </c>
      <c r="C13" s="11" t="inlineStr">
        <is>
          <t>Director aliases generated from names rather than confirmed one by one (D14).</t>
        </is>
      </c>
      <c r="D13" s="16" t="inlineStr">
        <is>
          <t>Yes</t>
        </is>
      </c>
      <c r="E13" s="17" t="n"/>
    </row>
    <row r="14">
      <c r="A14" s="12" t="n">
        <v>10</v>
      </c>
      <c r="B14" s="11" t="inlineStr">
        <is>
          <t>Build-side preconditions</t>
        </is>
      </c>
      <c r="C14" s="11" t="inlineStr">
        <is>
          <t>Ubuntu Server 26.04.1 installed on the 4 TB drive; 8 TB drive unpartitioned.</t>
        </is>
      </c>
      <c r="D14" s="16" t="n"/>
      <c r="E14" s="17" t="n"/>
    </row>
    <row r="15">
      <c r="A15" s="12" t="n">
        <v>11</v>
      </c>
      <c r="B15" s="11" t="inlineStr">
        <is>
          <t>Build-side preconditions</t>
        </is>
      </c>
      <c r="C15" s="11" t="inlineStr">
        <is>
          <t>BIOS: UMA minimum, IOMMU on, fTPM on, Secure Boot disabled (D2).</t>
        </is>
      </c>
      <c r="D15" s="16" t="n"/>
      <c r="E15" s="17" t="n"/>
    </row>
    <row r="16">
      <c r="A16" s="12" t="n">
        <v>12</v>
      </c>
      <c r="B16" s="11" t="inlineStr">
        <is>
          <t>Build-side preconditions</t>
        </is>
      </c>
      <c r="C16" s="11" t="inlineStr">
        <is>
          <t>LAN address reserved for the node on the router, over Wi-Fi; UDP 51820 forward confirmed to that address.</t>
        </is>
      </c>
      <c r="D16" s="16" t="n"/>
      <c r="E16" s="17" t="n"/>
    </row>
    <row r="17">
      <c r="A17" s="12" t="n">
        <v>13</v>
      </c>
      <c r="B17" s="11" t="inlineStr">
        <is>
          <t>Build-side preconditions</t>
        </is>
      </c>
      <c r="C17" s="11" t="inlineStr">
        <is>
          <t>Internet bandwidth known, so the ~690 GB Phase 3 download can be planned.</t>
        </is>
      </c>
      <c r="D17" s="16" t="n"/>
      <c r="E17" s="17" t="n"/>
    </row>
    <row r="18">
      <c r="A18" s="12" t="n">
        <v>14</v>
      </c>
      <c r="B18" s="11" t="inlineStr">
        <is>
          <t>Accepted resolutions</t>
        </is>
      </c>
      <c r="C18" s="11" t="inlineStr">
        <is>
          <t>C1 through C26 in Section 18 are accepted. C19 was reopened and re-decided in the Principal's favour; the rest stand as written.</t>
        </is>
      </c>
      <c r="D18" s="16" t="inlineStr">
        <is>
          <t>Yes</t>
        </is>
      </c>
      <c r="E18" s="17" t="n"/>
    </row>
  </sheetData>
  <autoFilter ref="A4:E18"/>
  <conditionalFormatting sqref="D5:D18">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18"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hemispheres, and the final persona-to-engine map.</t>
        </is>
      </c>
    </row>
    <row r="4">
      <c r="A4" s="3" t="inlineStr">
        <is>
          <t>Four core engines (one resident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native</t>
        </is>
      </c>
      <c r="D7" s="11" t="inlineStr">
        <is>
          <t>63 GB</t>
        </is>
      </c>
      <c r="E7" s="11" t="inlineStr">
        <is>
          <t>Same</t>
        </is>
      </c>
      <c r="F7" s="11" t="inlineStr">
        <is>
          <t>Valerie default; Ren and Arthur on explicit override</t>
        </is>
      </c>
    </row>
    <row r="8">
      <c r="A8" s="11" t="inlineStr">
        <is>
          <t>Nemotron 3 Super</t>
        </is>
      </c>
      <c r="B8" s="11" t="inlineStr">
        <is>
          <t>120B hybrid Mamba MoE, 12.7B active</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Optional fifth (D12): Meditron-70B, dense, ~40 GB at 4-bit, single-digit tok/s, Minerva cross-check only, runs through llama.cpp in Phase 3 (C5).</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60" customWidth="1" min="2" max="2"/>
    <col width="14" customWidth="1" min="3" max="3"/>
    <col width="34" customWidth="1" min="4" max="4"/>
    <col width="8" customWidth="1" min="5" max="5"/>
  </cols>
  <sheetData>
    <row r="1">
      <c r="A1" s="1" t="inlineStr">
        <is>
          <t>Ref Domains</t>
        </is>
      </c>
    </row>
    <row r="2">
      <c r="A2" s="2" t="inlineStr">
        <is>
          <t>Section 8.2. All thirty retained. Tier A loads freely, B on clear match, C on explicit match only.</t>
        </is>
      </c>
    </row>
    <row r="4">
      <c r="A4" s="3" t="inlineStr">
        <is>
          <t>Thirty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t>
        </is>
      </c>
      <c r="C9" s="11" t="inlineStr">
        <is>
          <t>Corporate</t>
        </is>
      </c>
      <c r="D9" s="11" t="inlineStr">
        <is>
          <t>Valerie</t>
        </is>
      </c>
      <c r="E9" s="11" t="inlineStr">
        <is>
          <t>A</t>
        </is>
      </c>
    </row>
    <row r="10">
      <c r="A10" s="11" t="inlineStr">
        <is>
          <t>5</t>
        </is>
      </c>
      <c r="B10" s="11" t="inlineStr">
        <is>
          <t>CFO &amp; Controller</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subspecialty)</t>
        </is>
      </c>
      <c r="C20" s="11" t="inlineStr">
        <is>
          <t>Estate</t>
        </is>
      </c>
      <c r="D20" s="11" t="inlineStr">
        <is>
          <t>Minerva</t>
        </is>
      </c>
      <c r="E20" s="11" t="inlineStr">
        <is>
          <t>A</t>
        </is>
      </c>
    </row>
    <row r="21">
      <c r="A21" s="11" t="inlineStr">
        <is>
          <t>16</t>
        </is>
      </c>
      <c r="B21" s="11" t="inlineStr">
        <is>
          <t>COO &amp; Process Architect</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14" customWidth="1" min="4" max="4"/>
    <col width="24" customWidth="1" min="5" max="5"/>
  </cols>
  <sheetData>
    <row r="1">
      <c r="A1" s="1" t="inlineStr">
        <is>
          <t>Ref Multimodal</t>
        </is>
      </c>
    </row>
    <row r="2">
      <c r="A2" s="2" t="inlineStr">
        <is>
          <t>Section 15. Tools install in Phase 2 (CPU, always available). Engines build in Phase 4 inside ROCm containers.</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t>
        </is>
      </c>
      <c r="B19" s="11" t="inlineStr">
        <is>
          <t>Image generation, architectural visualisation with LoRA (the "Arch-DiT" imagery use)</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Minerva, Gideon</t>
        </is>
      </c>
    </row>
    <row r="21">
      <c r="A21" s="11" t="inlineStr">
        <is>
          <t>Florence-2</t>
        </is>
      </c>
      <c r="B21" s="11" t="inlineStr">
        <is>
          <t>Lightweight vision, detection, captioning, OCR</t>
        </is>
      </c>
      <c r="C21" s="11" t="inlineStr">
        <is>
          <t>Green</t>
        </is>
      </c>
      <c r="D21" s="11" t="inlineStr">
        <is>
          <t>under 2 GB</t>
        </is>
      </c>
      <c r="E21" s="11" t="inlineStr">
        <is>
          <t>General</t>
        </is>
      </c>
    </row>
    <row r="22">
      <c r="A22" s="11" t="inlineStr">
        <is>
          <t>TimesFM or Chronos</t>
        </is>
      </c>
      <c r="B22" s="11" t="inlineStr">
        <is>
          <t>Time-series forecasting</t>
        </is>
      </c>
      <c r="C22" s="11" t="inlineStr">
        <is>
          <t>Green</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 2.0</t>
        </is>
      </c>
      <c r="B25" s="11" t="inlineStr">
        <is>
          <t>Vision-driven GUI automation for RewardPay and Wix design</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n">
        <v>1</v>
      </c>
      <c r="B6" s="11" t="inlineStr">
        <is>
          <t>The Principal speaks only to Ren or Arthur. Shadow Cabinet output is never surfaced directly; the hemisphere synthesises and speaks.</t>
        </is>
      </c>
    </row>
    <row r="7">
      <c r="A7" s="11" t="n">
        <v>2</v>
      </c>
      <c r="B7" s="11" t="inlineStr">
        <is>
          <t>Directors correspond externally under their own identities for routine and standard matters; Ren and Arthur are reserved for matters that warrant them.</t>
        </is>
      </c>
    </row>
    <row r="8">
      <c r="A8" s="11" t="n">
        <v>3</v>
      </c>
      <c r="B8" s="11" t="inlineStr">
        <is>
          <t>Every outbound action passes the approval gate in code (16.2). This is a hard code path, not a prompt instruction.</t>
        </is>
      </c>
    </row>
    <row r="9">
      <c r="A9" s="11" t="n">
        <v>4</v>
      </c>
      <c r="B9" s="11" t="inlineStr">
        <is>
          <t>ATLAS never discloses its AI nature externally. Recorded as a legal exposure in R12; the approval gate is the control.</t>
        </is>
      </c>
    </row>
    <row r="10">
      <c r="A10" s="11" t="n">
        <v>5</v>
      </c>
      <c r="B10" s="11" t="inlineStr">
        <is>
          <t>ATLAS never delegates work back to the Principal. A rewrite pass removes any task-shaped request to the Principal; only decisions and approvals may be asked.</t>
        </is>
      </c>
    </row>
    <row r="11">
      <c r="A11" s="11" t="n">
        <v>6</v>
      </c>
      <c r="B11" s="11" t="inlineStr">
        <is>
          <t>Register differs between Principal and external recipients (6.4).</t>
        </is>
      </c>
    </row>
    <row r="12">
      <c r="A12" s="11" t="n">
        <v>7</v>
      </c>
      <c r="B12" s="11" t="inlineStr">
        <is>
          <t>Cross-domain requests must trigger their task-force preset (8.3).</t>
        </is>
      </c>
    </row>
    <row r="13">
      <c r="A13" s="11" t="n">
        <v>8</v>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n">
        <v>1</v>
      </c>
      <c r="B23" s="11" t="inlineStr">
        <is>
          <t>Move money, initiate a payment, or change a payment method.</t>
        </is>
      </c>
    </row>
    <row r="24">
      <c r="A24" s="11" t="n">
        <v>2</v>
      </c>
      <c r="B24" s="11" t="inlineStr">
        <is>
          <t>Sign, accept, or bind to a contract or terms.</t>
        </is>
      </c>
    </row>
    <row r="25">
      <c r="A25" s="11" t="n">
        <v>3</v>
      </c>
      <c r="B25" s="11" t="inlineStr">
        <is>
          <t>Send external correspondence above the routine tier.</t>
        </is>
      </c>
    </row>
    <row r="26">
      <c r="A26" s="11" t="n">
        <v>4</v>
      </c>
      <c r="B26" s="11" t="inlineStr">
        <is>
          <t>Change DNS, domain, or Cloudflare security settings.</t>
        </is>
      </c>
    </row>
    <row r="27">
      <c r="A27" s="11" t="n">
        <v>5</v>
      </c>
      <c r="B27" s="11" t="inlineStr">
        <is>
          <t>Delete, move, or modify vault contents or backups.</t>
        </is>
      </c>
    </row>
    <row r="28">
      <c r="A28" s="11" t="n">
        <v>6</v>
      </c>
      <c r="B28" s="11" t="inlineStr">
        <is>
          <t>Modify its own code, configuration, approval tiers, router rules, or the allowlist. Domain 20 proposes; the Principal approves.</t>
        </is>
      </c>
    </row>
    <row r="29">
      <c r="A29" s="11" t="n">
        <v>7</v>
      </c>
      <c r="B29" s="11" t="inlineStr">
        <is>
          <t>Enable continuous vision or audio capture.</t>
        </is>
      </c>
    </row>
    <row r="30">
      <c r="A30" s="11" t="n">
        <v>8</v>
      </c>
      <c r="B30" s="11" t="inlineStr">
        <is>
          <t>Install software or pull models from outside the allowlist.</t>
        </is>
      </c>
    </row>
    <row r="31">
      <c r="A31" s="11" t="n">
        <v>9</v>
      </c>
      <c r="B31" s="11" t="inlineStr">
        <is>
          <t>Share any Principal data with a third party not already connected under Section 13.</t>
        </is>
      </c>
    </row>
    <row r="32">
      <c r="A32" s="11" t="n">
        <v>10</v>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0"/>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confirm Ubuntu Server 26.04.1, kernel 7.0, both NVMe drives present, fTPM enabled (V2), and rocminfo reporting gfx1151 before anything else runs (V3).</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llama-cli --list-devices reports ~170 GB usable (V3).</t>
        </is>
      </c>
    </row>
    <row r="18">
      <c r="A18" s="11" t="inlineStr">
        <is>
          <t>Phase 1</t>
        </is>
      </c>
      <c r="B18" s="11" t="inlineStr">
        <is>
          <t>6. Docker with GPU device passthrough; service account in render and video.</t>
        </is>
      </c>
    </row>
    <row r="19">
      <c r="A19" s="11" t="inlineStr">
        <is>
          <t>Phase 1</t>
        </is>
      </c>
      <c r="B19" s="11" t="inlineStr">
        <is>
          <t>7. WG-Easy, Cloudflare dynamic DNS with the relocated scoped token (R7), ntfy.</t>
        </is>
      </c>
    </row>
    <row r="20">
      <c r="A20" s="11" t="inlineStr">
        <is>
          <t>Phase 1</t>
        </is>
      </c>
      <c r="B20" s="11" t="inlineStr">
        <is>
          <t>8. Gate: table of V2, V3, V5, V19 results. Phase 2 does not start on a red row. V1 is recorded as informational only, since the node runs on Wi-Fi.</t>
        </is>
      </c>
    </row>
    <row r="21">
      <c r="A21" s="11" t="inlineStr">
        <is>
          <t>Phase 2</t>
        </is>
      </c>
      <c r="B21" s="11" t="inlineStr">
        <is>
          <t>1. llama-server, Vulkan build; optional ROCm container for tuned prefill.</t>
        </is>
      </c>
    </row>
    <row r="22">
      <c r="A22" s="11" t="inlineStr">
        <is>
          <t>Phase 2</t>
        </is>
      </c>
      <c r="B22" s="11" t="inlineStr">
        <is>
          <t>2. Redis, Celery workers (cpu, gpu queues), orchestrator scaffold with the Engine Arbiter, router, approval queue, task ledger.</t>
        </is>
      </c>
    </row>
    <row r="23">
      <c r="A23" s="11" t="inlineStr">
        <is>
          <t>Phase 2</t>
        </is>
      </c>
      <c r="B23" s="11" t="inlineStr">
        <is>
          <t>3. Open WebUI with offline hardening (12.1); A.T.L.A.S., Ren, Arthur registered as models; the router Filter installed.</t>
        </is>
      </c>
    </row>
    <row r="24">
      <c r="A24" s="11" t="inlineStr">
        <is>
          <t>Phase 2</t>
        </is>
      </c>
      <c r="B24" s="11" t="inlineStr">
        <is>
          <t>4. ChromaDB, graph store, embedding model (D4); Docling ingestion service.</t>
        </is>
      </c>
    </row>
    <row r="25">
      <c r="A25" s="11" t="inlineStr">
        <is>
          <t>Phase 2</t>
        </is>
      </c>
      <c r="B25" s="11" t="inlineStr">
        <is>
          <t>5. Kokoro, Chatterbox, Whisper Large-v3-Turbo, PyAnnote 3.1 (V6).</t>
        </is>
      </c>
    </row>
    <row r="26">
      <c r="A26" s="11" t="inlineStr">
        <is>
          <t>Phase 2</t>
        </is>
      </c>
      <c r="B26" s="11" t="inlineStr">
        <is>
          <t>6. Phase 2 tools (15.1): IfcOpenShell, Bonsai, MCP4IFC, Radiance, OpenStudio/EnergyPlus, KiCad CLI, Playwright, the cross-platform build container (Android and Windows targets only).</t>
        </is>
      </c>
    </row>
    <row r="27">
      <c r="A27" s="11" t="inlineStr">
        <is>
          <t>Phase 2</t>
        </is>
      </c>
      <c r="B27" s="11" t="inlineStr">
        <is>
          <t>7. restic repository on the second drive; nightly timer; first backup; first restore test.</t>
        </is>
      </c>
    </row>
    <row r="28">
      <c r="A28" s="11" t="inlineStr">
        <is>
          <t>Phase 2</t>
        </is>
      </c>
      <c r="B28" s="11" t="inlineStr">
        <is>
          <t>8. Sentinel timer (disabled until D6 confirms feeds), pruning timer.</t>
        </is>
      </c>
    </row>
    <row r="29">
      <c r="A29" s="11" t="inlineStr">
        <is>
          <t>Phase 2</t>
        </is>
      </c>
      <c r="B29" s="11" t="inlineStr">
        <is>
          <t>9. Windows PC share mount unit, on-demand.</t>
        </is>
      </c>
    </row>
    <row r="30">
      <c r="A30" s="11" t="inlineStr">
        <is>
          <t>Phase 2</t>
        </is>
      </c>
      <c r="B30" s="11" t="inlineStr">
        <is>
          <t>10. Gate: every service healthy; V6, V7 (listening test) recorded.</t>
        </is>
      </c>
    </row>
    <row r="31">
      <c r="A31" s="11" t="inlineStr">
        <is>
          <t>Phase 3</t>
        </is>
      </c>
      <c r="B31" s="11" t="inlineStr">
        <is>
          <t>1. Pull, with checksum verification, at the quantisations fixed in Section 5.1: gpt-oss-120b (MXFP4), gpt-oss-120b abliterated (MXFP4), Nemotron 3 Super (Q8_0), Qwen3.5-122B-A10B (Q8_0), DeepSeek V4 Flash (UD-Q4_K_XL), Qwen2.5-VL-72B (Q8_0), Meditron-70B (Q8_0). About 690 GB.</t>
        </is>
      </c>
    </row>
    <row r="32">
      <c r="A32" s="11" t="inlineStr">
        <is>
          <t>Phase 3</t>
        </is>
      </c>
      <c r="B32" s="11" t="inlineStr">
        <is>
          <t>2. For each model, in turn: load through the Engine Arbiter; confirm the quantised KV cache actually applied (V4); measure decode and prefill at 512 and 8k tokens; measure swap time; unload; confirm memory returned.</t>
        </is>
      </c>
    </row>
    <row r="33">
      <c r="A33" s="11" t="inlineStr">
        <is>
          <t>Phase 3</t>
        </is>
      </c>
      <c r="B33" s="11" t="inlineStr">
        <is>
          <t>3. Two-residency test: load gpt-oss-120b and Qwen2.5-VL-72B together, confirm both hold at ~142 GB, and confirm a second generation request queues rather than running concurrently (V14, V21).</t>
        </is>
      </c>
    </row>
    <row r="34">
      <c r="A34" s="11" t="inlineStr">
        <is>
          <t>Phase 3</t>
        </is>
      </c>
      <c r="B34"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35">
      <c r="A35" s="11" t="inlineStr">
        <is>
          <t>Phase 4</t>
        </is>
      </c>
      <c r="B35" s="11" t="inlineStr">
        <is>
          <t>1. Self-test the community PyTorch ROCm wheel inside the base container: tensor on GPU, matmul, a small diffusion step (V11).</t>
        </is>
      </c>
    </row>
    <row r="36">
      <c r="A36" s="11" t="inlineStr">
        <is>
          <t>Phase 4</t>
        </is>
      </c>
      <c r="B36" s="11" t="inlineStr">
        <is>
          <t>2. Build green engines in order of value: FLUX.1, Wan2.2, Florence-2, TimesFM or Chronos, UI-TARS 2.0, Rad-DINO, SAM 2 with the extension flag, Stable Audio Open, CosyVoice2, OpenVLA. The vision engine is not here; Qwen2.5-VL-72B is a GGUF engine pulled in Phase 3.</t>
        </is>
      </c>
    </row>
    <row r="37">
      <c r="A37" s="11" t="inlineStr">
        <is>
          <t>Phase 4</t>
        </is>
      </c>
      <c r="B37" s="11" t="inlineStr">
        <is>
          <t>3. Attempt yellow engines: TRELLIS, Blender Cycles HIP with CPU fallback. Log pass or fail, never block.</t>
        </is>
      </c>
    </row>
    <row r="38">
      <c r="A38" s="11" t="inlineStr">
        <is>
          <t>Phase 4</t>
        </is>
      </c>
      <c r="B38" s="11" t="inlineStr">
        <is>
          <t>4. Verify PointLLM (V8) and Clay or Prithvi (V9); mark deferred if they fail.</t>
        </is>
      </c>
    </row>
    <row r="39">
      <c r="A39" s="11" t="inlineStr">
        <is>
          <t>Phase 4</t>
        </is>
      </c>
      <c r="B39" s="11" t="inlineStr">
        <is>
          <t>5. Register every passing engine with the Engine Arbiter with its measured footprint.</t>
        </is>
      </c>
    </row>
    <row r="40">
      <c r="A40" s="11" t="inlineStr">
        <is>
          <t>Phase 4</t>
        </is>
      </c>
      <c r="B40" s="11" t="inlineStr">
        <is>
          <t>6. Gate: per-engine table: built, loaded, sample output produced, footprint, pass/fail/deferred.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2026-09-21T00:55:07Z</dcterms:created>
  <dcterms:modified xsi:type="dcterms:W3CDTF">2026-09-21T00:55:07Z</dcterms:modified>
</cp:coreProperties>
</file>