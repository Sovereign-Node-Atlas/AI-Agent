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Decisions'!$A$4:$F$18</definedName>
    <definedName name="_xlnm._FilterDatabase" localSheetId="2" hidden="1">'2 Resolutions'!$A$4:$E$30</definedName>
    <definedName name="_xlnm._FilterDatabase" localSheetId="3" hidden="1">'3 Risks'!$A$4:$G$25</definedName>
    <definedName name="_xlnm._FilterDatabase" localSheetId="4" hidden="1">'4 Verification'!$A$4:$E$27</definedName>
    <definedName name="_xlnm._FilterDatabase" localSheetId="5" hidden="1">'5 Checklist'!$A$4:$E$20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v0.2.1 (2026-09-21). Every decision is closed. Nothing has been executed; the Day 1 script is written against this.</t>
        </is>
      </c>
    </row>
    <row r="4">
      <c r="A4" s="3" t="inlineStr">
        <is>
          <t>How to use this workbook</t>
        </is>
      </c>
    </row>
    <row r="5">
      <c r="A5" s="4" t="inlineStr">
        <is>
          <t>1. Sheet 1 is a closed record: all fourteen decisions, as you answered them. Sheets 2 and 3 are mostly a record too, but eleven rows are blank and need you. Sheet 4 fills during Day 1. Sheet 5 lists the real-world items outstanding.</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and memory budget, engines, cabinet, domains, task forces, integrations, voice, multimodal, governance, Day 1) for checking against.</t>
        </is>
      </c>
    </row>
    <row r="10">
      <c r="A10" s="4" t="inlineStr">
        <is>
          <t>6. What is genuinely outstanding: eleven response cells (six new resolutions on sheet 2, five risk acknowledgements on sheet 3) and four Principal actions on sheet 5 - store the USB recovery drive away from the node, create the Google OAuth client, source the two voice recordings, and have a monitor ready for first boot. The four build-side rows on sheet 5 are yours to tick as the machine is prepared.</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Decisions'!$A$5:$A$18)</f>
        <v/>
      </c>
      <c r="C21" s="12">
        <f>B21-G21</f>
        <v/>
      </c>
      <c r="D21" s="12">
        <f>COUNTIF('1 Decisions'!$E$5:$E$18,"Confirmed")</f>
        <v/>
      </c>
      <c r="E21" s="12">
        <f>0</f>
        <v/>
      </c>
      <c r="F21" s="12">
        <f>COUNTIF('1 Decisions'!$E$5:$E$18,"Changed my mind")</f>
        <v/>
      </c>
      <c r="G21" s="12">
        <f>COUNTBLANK('1 Decisions'!$E$5:$E$18)</f>
        <v/>
      </c>
    </row>
    <row r="22">
      <c r="A22" s="11" t="inlineStr">
        <is>
          <t>2 Resolutions</t>
        </is>
      </c>
      <c r="B22" s="12">
        <f>COUNTA('2 Resolutions'!$A$5:$A$30)</f>
        <v/>
      </c>
      <c r="C22" s="12">
        <f>B22-G22</f>
        <v/>
      </c>
      <c r="D22" s="12">
        <f>COUNTIF('2 Resolutions'!$D$5:$D$30,"Accept")</f>
        <v/>
      </c>
      <c r="E22" s="12">
        <f>0</f>
        <v/>
      </c>
      <c r="F22" s="12">
        <f>COUNTIF('2 Resolutions'!$D$5:$D$30,"Disagree - return to decisions")</f>
        <v/>
      </c>
      <c r="G22" s="12">
        <f>COUNTBLANK('2 Resolutions'!$D$5:$D$30)</f>
        <v/>
      </c>
    </row>
    <row r="23">
      <c r="A23" s="11" t="inlineStr">
        <is>
          <t>3 Risks</t>
        </is>
      </c>
      <c r="B23" s="12">
        <f>COUNTA('3 Risks'!$A$5:$A$25)</f>
        <v/>
      </c>
      <c r="C23" s="12">
        <f>B23-G23</f>
        <v/>
      </c>
      <c r="D23" s="12">
        <f>COUNTIF('3 Risks'!$F$5:$F$25,"Yes")</f>
        <v/>
      </c>
      <c r="E23" s="12">
        <f>0</f>
        <v/>
      </c>
      <c r="F23" s="12">
        <f>COUNTIF('3 Risks'!$F$5:$F$25,"Discuss")</f>
        <v/>
      </c>
      <c r="G23" s="12">
        <f>COUNTBLANK('3 Risks'!$F$5:$F$25)</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Checklist'!$A$5:$A$20)</f>
        <v/>
      </c>
      <c r="C25" s="12">
        <f>B25-G25</f>
        <v/>
      </c>
      <c r="D25" s="12">
        <f>COUNTIF('5 Checklist'!$D$5:$D$20,"Yes")+COUNTIF('5 Checklist'!$D$5:$D$20,"N/A")</f>
        <v/>
      </c>
      <c r="E25" s="12">
        <f>0</f>
        <v/>
      </c>
      <c r="F25" s="12">
        <f>COUNTIF('5 Checklist'!$D$5:$D$20,"No")</f>
        <v/>
      </c>
      <c r="G25" s="12">
        <f>COUNTBLANK('5 Checklist'!$D$5:$D$20)</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fourteen are closed. This sheet is a record: change a row only if you have changed your mind since the workbook was returned.</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sheetData>
  <autoFilter ref="A4:F18"/>
  <conditionalFormatting sqref="E5:E18">
    <cfRule type="cellIs" priority="1" operator="equal" dxfId="0">
      <formula>"Confirmed"</formula>
    </cfRule>
    <cfRule type="cellIs" priority="2" operator="equal" dxfId="1">
      <formula>"Changed my mind"</formula>
    </cfRule>
  </conditionalFormatting>
  <dataValidations count="1">
    <dataValidation sqref="E5:E18"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C20 are already accepted and marked. C21 to C26 are new in v0.2 and blank: please read and answer those six.</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The 24.04.5 point release backports the same kernel 7.0 and Mesa 26.0, so hardware support is identical; 26.04.1 wins on support life and toolchain (3.1)</t>
        </is>
      </c>
      <c r="D25" s="16" t="n"/>
      <c r="E25" s="17" t="n"/>
    </row>
    <row r="26">
      <c r="A26" s="12" t="inlineStr">
        <is>
          <t>C22</t>
        </is>
      </c>
      <c r="B26" s="11" t="inlineStr">
        <is>
          <t>Whether to adopt the amd64v3 or amd64v4 optimised archives</t>
        </is>
      </c>
      <c r="C26" s="11" t="inlineStr">
        <is>
          <t>Neither. The gain is on CPU-bound distribution packages, not GPU inference (3.1)</t>
        </is>
      </c>
      <c r="D26" s="16" t="n"/>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n"/>
      <c r="E27" s="17" t="n"/>
    </row>
    <row r="28">
      <c r="A28" s="12" t="inlineStr">
        <is>
          <t>C24</t>
        </is>
      </c>
      <c r="B28" s="11" t="inlineStr">
        <is>
          <t>Two domains held in reserve pending a stated need (old D5)</t>
        </is>
      </c>
      <c r="C28" s="11" t="inlineStr">
        <is>
          <t>Reserve closed. Six new domains, five subspecialty folds (8.2)</t>
        </is>
      </c>
      <c r="D28" s="16" t="n"/>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n"/>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n"/>
      <c r="E30" s="17" t="n"/>
    </row>
  </sheetData>
  <autoFilter ref="A4:E30"/>
  <conditionalFormatting sqref="D5:D30">
    <cfRule type="cellIs" priority="1" operator="equal" dxfId="0">
      <formula>"Accept"</formula>
    </cfRule>
    <cfRule type="cellIs" priority="2" operator="equal" dxfId="1">
      <formula>"Disagree - return to decisions"</formula>
    </cfRule>
  </conditionalFormatting>
  <dataValidations count="1">
    <dataValidation sqref="D5:D30"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Already-acknowledged risks are marked. Five rows are blank and need you: R9 and R16 changed wording in v0.2, and R19 to R21 are new.</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n"/>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n"/>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n"/>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n"/>
      <c r="G16" s="17" t="n"/>
    </row>
    <row r="17">
      <c r="A17" s="12" t="inlineStr">
        <is>
          <t>R10</t>
        </is>
      </c>
      <c r="B17" s="11" t="inlineStr">
        <is>
          <t>Sustained thermal load in a small chassis</t>
        </is>
      </c>
      <c r="C17" s="11" t="inlineStr">
        <is>
          <t>Medium</t>
        </is>
      </c>
      <c r="D17" s="11" t="inlineStr">
        <is>
          <t>Low</t>
        </is>
      </c>
      <c r="E17" s="11" t="inlineStr">
        <is>
          <t>Monitor temperatures in Cockpit; the chip's configurable ceiling is 120 W and the Principal is adding external cooling</t>
        </is>
      </c>
      <c r="F17" s="16" t="inlineStr">
        <is>
          <t>Yes</t>
        </is>
      </c>
      <c r="G17" s="17" t="n"/>
    </row>
    <row r="18">
      <c r="A18" s="12" t="inlineStr">
        <is>
          <t>R11</t>
        </is>
      </c>
      <c r="B18" s="11" t="inlineStr">
        <is>
          <t>CGNAT prevents inbound WireGuard</t>
        </is>
      </c>
      <c r="C18" s="11" t="inlineStr">
        <is>
          <t>Low, port forward already succeeded</t>
        </is>
      </c>
      <c r="D18" s="11" t="inlineStr">
        <is>
          <t>High for remote access</t>
        </is>
      </c>
      <c r="E18" s="11" t="inlineStr">
        <is>
          <t>V5 from mobile data, static IP from the ISP if needed</t>
        </is>
      </c>
      <c r="F18" s="16" t="inlineStr">
        <is>
          <t>Yes</t>
        </is>
      </c>
      <c r="G18" s="17" t="n"/>
    </row>
    <row r="19">
      <c r="A19" s="12" t="inlineStr">
        <is>
          <t>R12</t>
        </is>
      </c>
      <c r="B19" s="11" t="inlineStr">
        <is>
          <t>Fictitious directors corresponding as humans, AI non-disclosure</t>
        </is>
      </c>
      <c r="C19" s="11" t="inlineStr">
        <is>
          <t>Medium</t>
        </is>
      </c>
      <c r="D19" s="11" t="inlineStr">
        <is>
          <t>Medium to high, legal</t>
        </is>
      </c>
      <c r="E19" s="11" t="inlineStr">
        <is>
          <t>Gideon's sensitive-tier check, approval gate, 16.5</t>
        </is>
      </c>
      <c r="F19" s="16" t="inlineStr">
        <is>
          <t>Yes</t>
        </is>
      </c>
      <c r="G19" s="17" t="n"/>
    </row>
    <row r="20">
      <c r="A20" s="12" t="inlineStr">
        <is>
          <t>R13</t>
        </is>
      </c>
      <c r="B20" s="11" t="inlineStr">
        <is>
          <t>Abliterated engine used for external output</t>
        </is>
      </c>
      <c r="C20" s="11" t="inlineStr">
        <is>
          <t>Medium</t>
        </is>
      </c>
      <c r="D20" s="11" t="inlineStr">
        <is>
          <t>Medium</t>
        </is>
      </c>
      <c r="E20" s="11" t="inlineStr">
        <is>
          <t>Abliterated output always passes the same gate, never routine tier</t>
        </is>
      </c>
      <c r="F20" s="16" t="inlineStr">
        <is>
          <t>Yes</t>
        </is>
      </c>
      <c r="G20" s="17" t="n"/>
    </row>
    <row r="21">
      <c r="A21" s="12" t="inlineStr">
        <is>
          <t>R14</t>
        </is>
      </c>
      <c r="B21" s="11" t="inlineStr">
        <is>
          <t>Chatterbox continuation quirk in production speech</t>
        </is>
      </c>
      <c r="C21" s="11" t="inlineStr">
        <is>
          <t>Medium</t>
        </is>
      </c>
      <c r="D21" s="11" t="inlineStr">
        <is>
          <t>Low</t>
        </is>
      </c>
      <c r="E21" s="11" t="inlineStr">
        <is>
          <t>V7 testing, Kokoro fallback per line</t>
        </is>
      </c>
      <c r="F21" s="16" t="inlineStr">
        <is>
          <t>Yes</t>
        </is>
      </c>
      <c r="G21" s="17" t="n"/>
    </row>
    <row r="22">
      <c r="A22" s="12" t="inlineStr">
        <is>
          <t>R15</t>
        </is>
      </c>
      <c r="B22" s="11" t="inlineStr">
        <is>
          <t>Prompt bloat from domain injection makes every dispatch slow</t>
        </is>
      </c>
      <c r="C22" s="11" t="inlineStr">
        <is>
          <t>High without limits</t>
        </is>
      </c>
      <c r="D22" s="11" t="inlineStr">
        <is>
          <t>High, usability</t>
        </is>
      </c>
      <c r="E22" s="11" t="inlineStr">
        <is>
          <t>Three-card limit, compact cards, stable-prefix ordering (8.4, 4.4)</t>
        </is>
      </c>
      <c r="F22" s="16" t="inlineStr">
        <is>
          <t>Yes</t>
        </is>
      </c>
      <c r="G22" s="17" t="n"/>
    </row>
    <row r="23">
      <c r="A23" s="12" t="inlineStr">
        <is>
          <t>R16</t>
        </is>
      </c>
      <c r="B23" s="11" t="inlineStr">
        <is>
          <t>Backup passphrase or LUKS key lost with the node</t>
        </is>
      </c>
      <c r="C23" s="11" t="inlineStr">
        <is>
          <t>Low</t>
        </is>
      </c>
      <c r="D23" s="11" t="inlineStr">
        <is>
          <t>Catastrophic</t>
        </is>
      </c>
      <c r="E23"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3" s="16" t="n"/>
      <c r="G23" s="17" t="n"/>
    </row>
    <row r="24">
      <c r="A24" s="12" t="inlineStr">
        <is>
          <t>R17</t>
        </is>
      </c>
      <c r="B24" s="11" t="inlineStr">
        <is>
          <t>PyAnnote gated model not accepted, diarisation silently absent</t>
        </is>
      </c>
      <c r="C24" s="11" t="inlineStr">
        <is>
          <t>Medium</t>
        </is>
      </c>
      <c r="D24" s="11" t="inlineStr">
        <is>
          <t>Low</t>
        </is>
      </c>
      <c r="E24" s="11" t="inlineStr">
        <is>
          <t>V6</t>
        </is>
      </c>
      <c r="F24" s="16" t="inlineStr">
        <is>
          <t>Yes</t>
        </is>
      </c>
      <c r="G24" s="17" t="n"/>
    </row>
    <row r="25">
      <c r="A25" s="12" t="inlineStr">
        <is>
          <t>R18</t>
        </is>
      </c>
      <c r="B25" s="11" t="inlineStr">
        <is>
          <t>Continuous vision enabled by drift rather than decision</t>
        </is>
      </c>
      <c r="C25" s="11" t="inlineStr">
        <is>
          <t>Low</t>
        </is>
      </c>
      <c r="D25" s="11" t="inlineStr">
        <is>
          <t>High, privacy</t>
        </is>
      </c>
      <c r="E25" s="11" t="inlineStr">
        <is>
          <t>Separate capability flag under Alaric, logged, D8 item 7</t>
        </is>
      </c>
      <c r="F25" s="16" t="inlineStr">
        <is>
          <t>Yes</t>
        </is>
      </c>
      <c r="G25" s="17" t="n"/>
    </row>
  </sheetData>
  <autoFilter ref="A4:G25"/>
  <conditionalFormatting sqref="F5:F25">
    <cfRule type="cellIs" priority="1" operator="equal" dxfId="0">
      <formula>"Yes"</formula>
    </cfRule>
    <cfRule type="cellIs" priority="2" operator="equal" dxfId="1">
      <formula>"Discuss"</formula>
    </cfRule>
  </conditionalFormatting>
  <dataValidations count="1">
    <dataValidation sqref="F5:F25"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llama-cli --list-devices then reports ~170 GB usable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Rows already marked Yes are done or automated. Nothing runs until every row reads Yes or N/A.</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Store the USB recovery drive away from the node, not beside it (R16).</t>
        </is>
      </c>
      <c r="D8" s="16" t="n"/>
      <c r="E8" s="17" t="n"/>
    </row>
    <row r="9">
      <c r="A9" s="12" t="n">
        <v>5</v>
      </c>
      <c r="B9" s="11" t="inlineStr">
        <is>
          <t>Principal's actions — what is genuinely left</t>
        </is>
      </c>
      <c r="C9" s="11" t="inlineStr">
        <is>
          <t>Create the Google Cloud OAuth client for Gmail, Calendar and Drive, and be reachable for roughly five minutes during the Phase 2 pause (V20). This one step cannot be automated: Google requires the account owner to click Allow.</t>
        </is>
      </c>
      <c r="D9" s="16" t="n"/>
      <c r="E9" s="17" t="n"/>
    </row>
    <row r="10">
      <c r="A10" s="12" t="n">
        <v>6</v>
      </c>
      <c r="B10" s="11" t="inlineStr">
        <is>
          <t>Principal's actions — what is genuinely left</t>
        </is>
      </c>
      <c r="C10" s="11" t="inlineStr">
        <is>
          <t>Source reference recordings for Alaric's gravelly voice and, if the British male presets collide, Gideon's. Until then both fall back to the nearest Kokoro preset and V7 is recorded as deferred, not failed.</t>
        </is>
      </c>
      <c r="D10" s="16" t="n"/>
      <c r="E10" s="17" t="n"/>
    </row>
    <row r="11">
      <c r="A11" s="12" t="n">
        <v>7</v>
      </c>
      <c r="B11" s="11" t="inlineStr">
        <is>
          <t>Principal's actions — what is genuinely left</t>
        </is>
      </c>
      <c r="C11" s="11" t="inlineStr">
        <is>
          <t>Have a monitor and keyboard available for Phase 1 only, in case first boot needs a hand.</t>
        </is>
      </c>
      <c r="D11" s="16" t="n"/>
      <c r="E11" s="17" t="n"/>
    </row>
    <row r="12">
      <c r="A12" s="12" t="n">
        <v>8</v>
      </c>
      <c r="B12" s="11" t="inlineStr">
        <is>
          <t>Automated on the Principal's instruction, no action needed</t>
        </is>
      </c>
      <c r="C12" s="11" t="inlineStr">
        <is>
          <t>Cloudflare token relocation and deletion of CLOUDFLARE.txt: Phase 2 step 6b (V23).</t>
        </is>
      </c>
      <c r="D12" s="16" t="inlineStr">
        <is>
          <t>Yes</t>
        </is>
      </c>
      <c r="E12" s="17" t="n"/>
    </row>
    <row r="13">
      <c r="A13" s="12" t="n">
        <v>9</v>
      </c>
      <c r="B13" s="11" t="inlineStr">
        <is>
          <t>Automated on the Principal's instruction, no action needed</t>
        </is>
      </c>
      <c r="C13" s="11" t="inlineStr">
        <is>
          <t>Director aliases generated from names rather than confirmed one by one (D14).</t>
        </is>
      </c>
      <c r="D13" s="16" t="inlineStr">
        <is>
          <t>Yes</t>
        </is>
      </c>
      <c r="E13" s="17" t="n"/>
    </row>
    <row r="14">
      <c r="A14" s="12" t="n">
        <v>10</v>
      </c>
      <c r="B14" s="11" t="inlineStr">
        <is>
          <t>Build-side preconditions</t>
        </is>
      </c>
      <c r="C14" s="11" t="inlineStr">
        <is>
          <t>Ubuntu Server 26.04.1 installed on the 4 TB drive; 8 TB drive unpartitioned.</t>
        </is>
      </c>
      <c r="D14" s="16" t="n"/>
      <c r="E14" s="17" t="n"/>
    </row>
    <row r="15">
      <c r="A15" s="12" t="n">
        <v>11</v>
      </c>
      <c r="B15" s="11" t="inlineStr">
        <is>
          <t>Build-side preconditions</t>
        </is>
      </c>
      <c r="C15" s="11" t="inlineStr">
        <is>
          <t>BIOS: UMA minimum, IOMMU on, fTPM on, Secure Boot disabled (D2).</t>
        </is>
      </c>
      <c r="D15" s="16" t="n"/>
      <c r="E15" s="17" t="n"/>
    </row>
    <row r="16">
      <c r="A16" s="12" t="n">
        <v>12</v>
      </c>
      <c r="B16" s="11" t="inlineStr">
        <is>
          <t>Build-side preconditions</t>
        </is>
      </c>
      <c r="C16" s="11" t="inlineStr">
        <is>
          <t>LAN address reserved for the node on the router, over Wi-Fi; UDP 51820 forward confirmed to that address.</t>
        </is>
      </c>
      <c r="D16" s="16" t="n"/>
      <c r="E16" s="17" t="n"/>
    </row>
    <row r="17">
      <c r="A17" s="12" t="n">
        <v>13</v>
      </c>
      <c r="B17" s="11" t="inlineStr">
        <is>
          <t>Build-side preconditions</t>
        </is>
      </c>
      <c r="C17" s="11" t="inlineStr">
        <is>
          <t>Internet bandwidth known, so the ~690 GB Phase 3 download can be planned.</t>
        </is>
      </c>
      <c r="D17" s="16" t="n"/>
      <c r="E17" s="17" t="n"/>
    </row>
    <row r="18">
      <c r="A18" s="12" t="n">
        <v>14</v>
      </c>
      <c r="B18" s="11" t="inlineStr">
        <is>
          <t>Accepted resolutions</t>
        </is>
      </c>
      <c r="C18" s="11" t="inlineStr">
        <is>
          <t>C1 through C20 accepted in the returned workbook. C19 was reopened and re-decided in the Principal's favour.</t>
        </is>
      </c>
      <c r="D18" s="16" t="inlineStr">
        <is>
          <t>Yes</t>
        </is>
      </c>
      <c r="E18" s="17" t="n"/>
    </row>
    <row r="19">
      <c r="A19" s="12" t="n">
        <v>15</v>
      </c>
      <c r="B19" s="11" t="inlineStr">
        <is>
          <t>Accepted resolutions</t>
        </is>
      </c>
      <c r="C19" s="11" t="inlineStr">
        <is>
          <t>C21 through C26 are new in v0.2 and await an answer on sheet 2 of the workbook: the Ubuntu and amd64v3 rejections, the quantisation rise, the closed reserve list, the vision consolidation, and the residency-versus-generation reading.</t>
        </is>
      </c>
      <c r="D19" s="16" t="n"/>
      <c r="E19" s="17" t="n"/>
    </row>
    <row r="20">
      <c r="A20" s="12" t="n">
        <v>16</v>
      </c>
      <c r="B20" s="11" t="inlineStr">
        <is>
          <t>Accepted resolutions</t>
        </is>
      </c>
      <c r="C20" s="11" t="inlineStr">
        <is>
          <t>R9, R16, R19, R20 and R21 await acknowledgement on sheet 3: two changed wording in v0.2, three are new.</t>
        </is>
      </c>
      <c r="D20" s="16" t="n"/>
      <c r="E20" s="17" t="n"/>
    </row>
  </sheetData>
  <autoFilter ref="A4:E20"/>
  <conditionalFormatting sqref="D5:D20">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0"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native</t>
        </is>
      </c>
      <c r="D7" s="11" t="inlineStr">
        <is>
          <t>63 GB</t>
        </is>
      </c>
      <c r="E7" s="11" t="inlineStr">
        <is>
          <t>Same</t>
        </is>
      </c>
      <c r="F7" s="11" t="inlineStr">
        <is>
          <t>Valerie default; Ren and Arthur on explicit override</t>
        </is>
      </c>
    </row>
    <row r="8">
      <c r="A8" s="11" t="inlineStr">
        <is>
          <t>Nemotron 3 Super</t>
        </is>
      </c>
      <c r="B8" s="11" t="inlineStr">
        <is>
          <t>120B hybrid Mamba MoE, 12.7B active</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1"/>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t>
        </is>
      </c>
      <c r="D21" s="11" t="inlineStr">
        <is>
          <t>under 2 GB</t>
        </is>
      </c>
      <c r="E21" s="11" t="inlineStr">
        <is>
          <t>General</t>
        </is>
      </c>
    </row>
    <row r="22">
      <c r="A22" s="11" t="inlineStr">
        <is>
          <t>TimesFM or Chronos</t>
        </is>
      </c>
      <c r="B22" s="11" t="inlineStr">
        <is>
          <t>Time-series forecasting</t>
        </is>
      </c>
      <c r="C22" s="11" t="inlineStr">
        <is>
          <t>Green</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 2.0</t>
        </is>
      </c>
      <c r="B25" s="11" t="inlineStr">
        <is>
          <t>Vision-driven GUI automation for RewardPay and Wix design</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Qwen3.8-LiveTranslate (19 Sep 2026)</t>
        </is>
      </c>
      <c r="B39" s="11" t="inlineStr">
        <is>
          <t>Real-time simultaneous interpretation: 60 languages understood, 29 spoken, about 2.3 s lag</t>
        </is>
      </c>
      <c r="C39" s="11" t="inlineStr">
        <is>
          <t>Hosted API only (Alibaba Cloud Model Studio, QwenCloud, WebSocket). No open weights. Fails the zero-cloud rule on inference off-node and audio leaving the machine</t>
        </is>
      </c>
      <c r="D39" s="11" t="inlineStr">
        <is>
          <t>An open-weights release. Qwen has released weights for Qwen3-Omni, so this is plausible</t>
        </is>
      </c>
      <c r="E39" s="11" t="inlineStr">
        <is>
          <t>Nothing. Live interpretation is an open gap, the Whisper to engine to Kokoro pipeline does consecutive translation only, in Kokoro's eight languages</t>
        </is>
      </c>
    </row>
    <row r="40">
      <c r="A40" s="11" t="inlineStr">
        <is>
          <t>Qwen-Image-2.1 (20 Sep 2026)</t>
        </is>
      </c>
      <c r="B40" s="11" t="inlineStr">
        <is>
          <t>Image generation and editing in one 7B checkpoint: native RGBA, 2K, up to ten reference images, strongest text-in-image of its class, about 14 GB BF16, GGUF available, plain BF16 path on gfx1151</t>
        </is>
      </c>
      <c r="C40" s="11" t="inlineStr">
        <is>
          <t>Qwen Research License, non-commercial only. Same restriction that excluded Fish Audio S2 (C20). Not a peer of Qwen2.5-VL-72B, which reads images, this one makes them</t>
        </is>
      </c>
      <c r="D40" s="11" t="inlineStr">
        <is>
          <t>Re-licensing to Apache-2.0 (Qwen did this for Qwen2.5 within months) or a commercial licence obtained by the Principal</t>
        </is>
      </c>
      <c r="E40" s="11" t="inlineStr">
        <is>
          <t>FLUX.1-dev outright: half the footprint, generate and edit in one model</t>
        </is>
      </c>
    </row>
    <row r="41">
      <c r="A41"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3"/>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confirm Ubuntu Server 26.04.1, kernel 7.0, both NVMe drives present, fTPM enabled (V2), and the GPU present and identified from lspci and /sys/class/drm. The rocminfo confirmation of gfx1151 belongs to the Phase 4 container self-test (V11), because ROCm is never installed on the host (3.4).</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t>
        </is>
      </c>
    </row>
    <row r="17">
      <c r="A17" s="11" t="inlineStr">
        <is>
          <t>Phase 1</t>
        </is>
      </c>
      <c r="B17" s="11" t="inlineStr">
        <is>
          <t>5. Reboot. Post-reboot: vulkaninfo shows the Radeon 8065S, and the GTT pool read from /sys/class/drm matches the kernel parameters (V3, first half). The llama-cli --list-devices confirmation of ~170 GB usable moves to the Phase 2 gate, since llama.cpp is installed in Phase 2 (V3, second half).</t>
        </is>
      </c>
    </row>
    <row r="18">
      <c r="A18" s="11" t="inlineStr">
        <is>
          <t>Phase 1</t>
        </is>
      </c>
      <c r="B18" s="11" t="inlineStr">
        <is>
          <t>5b. XFCE and xrdp installed, bound to LAN and WireGuard only; Firefox in the desktop session; one RDP connection tested from the Principal's Windows PC.</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7. restic repository on the second drive; nightly timer; first backup; first restore test.</t>
        </is>
      </c>
    </row>
    <row r="31">
      <c r="A31" s="11" t="inlineStr">
        <is>
          <t>Phase 2</t>
        </is>
      </c>
      <c r="B31" s="11" t="inlineStr">
        <is>
          <t>8. Sentinel timer, enabled with the feeds closed under D6: CoinDesk, an ASX and US index feed, RSS news, node telemetry. Pruning timer.</t>
        </is>
      </c>
    </row>
    <row r="32">
      <c r="A32" s="11" t="inlineStr">
        <is>
          <t>Phase 2</t>
        </is>
      </c>
      <c r="B32" s="11" t="inlineStr">
        <is>
          <t>9. Windows PC share mount unit, on-demand.</t>
        </is>
      </c>
    </row>
    <row r="33">
      <c r="A33" s="11" t="inlineStr">
        <is>
          <t>Phase 2</t>
        </is>
      </c>
      <c r="B33" s="11" t="inlineStr">
        <is>
          <t>10. Gate: every service healthy; V3 second half (llama-cli --list-devices reports ~170 GB), V6, V7 (listening test, deferred if the reference recordings do not exist yet), V12, V20, V23 recorded. The Arbiter's refusal logic is unit-tested here against stub footprints; the real two-engine test is V21 in Phase 3.</t>
        </is>
      </c>
    </row>
    <row r="34">
      <c r="A34" s="11" t="inlineStr">
        <is>
          <t>Phase 3</t>
        </is>
      </c>
      <c r="B34" s="11" t="inlineStr">
        <is>
          <t>1. Pull, with checksum verification, at the quantisations fixed in Section 5.1: gpt-oss-120b (MXFP4), gpt-oss-120b abliterated (MXFP4), Nemotron 3 Super (Q8_0), Qwen3.5-122B-A10B (Q8_0), DeepSeek V4 Flash (UD-Q4_K_XL), Qwen2.5-VL-72B (Q8_0), Meditron-70B (Q8_0). About 690 GB.</t>
        </is>
      </c>
    </row>
    <row r="35">
      <c r="A35" s="11" t="inlineStr">
        <is>
          <t>Phase 3</t>
        </is>
      </c>
      <c r="B35" s="11" t="inlineStr">
        <is>
          <t>2. For each model, in turn: load through the Engine Arbiter; confirm the quantised KV cache actually applied (V4); measure decode and prefill at 512 and 8k tokens; measure swap time; unload; confirm memory returned.</t>
        </is>
      </c>
    </row>
    <row r="36">
      <c r="A36" s="11" t="inlineStr">
        <is>
          <t>Phase 3</t>
        </is>
      </c>
      <c r="B36" s="11" t="inlineStr">
        <is>
          <t>3. Two-residency test: load gpt-oss-120b and Qwen2.5-VL-72B together, confirm both hold at ~142 GB, and confirm a second generation request queues rather than running concurrently (V14, V21).</t>
        </is>
      </c>
    </row>
    <row r="37">
      <c r="A37" s="11" t="inlineStr">
        <is>
          <t>Phase 3</t>
        </is>
      </c>
      <c r="B37"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38">
      <c r="A38" s="11" t="inlineStr">
        <is>
          <t>Phase 4</t>
        </is>
      </c>
      <c r="B38" s="11" t="inlineStr">
        <is>
          <t>1. Inside the base ROCm container, confirm rocminfo reports gfx1151, then self-test the community PyTorch wheel: tensor on GPU, matmul, a small diffusion step (V11). This is the first and only place ROCm runs.</t>
        </is>
      </c>
    </row>
    <row r="39">
      <c r="A39" s="11" t="inlineStr">
        <is>
          <t>Phase 4</t>
        </is>
      </c>
      <c r="B39"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0">
      <c r="A40" s="11" t="inlineStr">
        <is>
          <t>Phase 4</t>
        </is>
      </c>
      <c r="B40" s="11" t="inlineStr">
        <is>
          <t>3. Attempt yellow engines: TRELLIS, Blender Cycles HIP with CPU fallback. Log pass or fail, never block.</t>
        </is>
      </c>
    </row>
    <row r="41">
      <c r="A41" s="11" t="inlineStr">
        <is>
          <t>Phase 4</t>
        </is>
      </c>
      <c r="B41" s="11" t="inlineStr">
        <is>
          <t>4. Verify PointLLM (V8) and Clay or Prithvi (V9); mark deferred if they fail.</t>
        </is>
      </c>
    </row>
    <row r="42">
      <c r="A42" s="11" t="inlineStr">
        <is>
          <t>Phase 4</t>
        </is>
      </c>
      <c r="B42" s="11" t="inlineStr">
        <is>
          <t>5. Register every passing engine with the Engine Arbiter with its measured footprint.</t>
        </is>
      </c>
    </row>
    <row r="43">
      <c r="A43" s="11" t="inlineStr">
        <is>
          <t>Phase 4</t>
        </is>
      </c>
      <c r="B43"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35"/>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s>
  <sheetData>
    <row r="1">
      <c r="A1" s="1" t="inlineStr">
        <is>
          <t>Ref Hardware</t>
        </is>
      </c>
    </row>
    <row r="2">
      <c r="A2" s="2" t="inlineStr">
        <is>
          <t>Sections 2 and 4.1. The machine v0.2 is built for,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Linux LLM tooling is Windows-first. Zero design dependency</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~180 GB on Linux via GTT, of which ~170 GB is free for engines once the resident set is subtracted</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Memory budget</t>
        </is>
      </c>
    </row>
    <row r="18">
      <c r="A18" s="10" t="inlineStr">
        <is>
          <t>Consumer</t>
        </is>
      </c>
      <c r="B18" s="10" t="inlineStr">
        <is>
          <t>Budget</t>
        </is>
      </c>
      <c r="C18" s="10" t="inlineStr">
        <is>
          <t>Notes</t>
        </is>
      </c>
    </row>
    <row r="19">
      <c r="A19" s="11" t="inlineStr">
        <is>
          <t>Ubuntu Server, XFCE, Docker, Cockpit</t>
        </is>
      </c>
      <c r="B19" s="11" t="inlineStr">
        <is>
          <t>4 GB</t>
        </is>
      </c>
      <c r="C19" s="11" t="inlineStr">
        <is>
          <t>XFCE adds roughly 0.5 GB over the headless figure in v0.1</t>
        </is>
      </c>
    </row>
    <row r="20">
      <c r="A20" s="11" t="inlineStr">
        <is>
          <t>Open WebUI, ChromaDB, graph store, embedding model</t>
        </is>
      </c>
      <c r="B20" s="11" t="inlineStr">
        <is>
          <t>4 GB</t>
        </is>
      </c>
      <c r="C20" s="11" t="inlineStr"/>
    </row>
    <row r="21">
      <c r="A21" s="11" t="inlineStr">
        <is>
          <t>Eleanor's resident router model, 4B class</t>
        </is>
      </c>
      <c r="B21" s="11" t="inlineStr">
        <is>
          <t>4 GB</t>
        </is>
      </c>
      <c r="C21" s="11" t="inlineStr">
        <is>
          <t>Always loaded</t>
        </is>
      </c>
    </row>
    <row r="22">
      <c r="A22" s="11" t="inlineStr">
        <is>
          <t>Kokoro, Whisper Large-v3-Turbo, PyAnnote</t>
        </is>
      </c>
      <c r="B22" s="11" t="inlineStr">
        <is>
          <t>3 GB</t>
        </is>
      </c>
      <c r="C22" s="11" t="inlineStr">
        <is>
          <t>Always loaded</t>
        </is>
      </c>
    </row>
    <row r="23">
      <c r="A23" s="11" t="inlineStr">
        <is>
          <t>Orchestrator, Celery workers, Redis, Sentinel, ntfy, WG-Easy</t>
        </is>
      </c>
      <c r="B23" s="11" t="inlineStr">
        <is>
          <t>1–2 GB</t>
        </is>
      </c>
      <c r="C23" s="11" t="inlineStr"/>
    </row>
    <row r="24">
      <c r="A24" s="11" t="inlineStr">
        <is>
          <t>Always-resident subtotal</t>
        </is>
      </c>
      <c r="B24" s="11" t="inlineStr">
        <is>
          <t>~17 GB</t>
        </is>
      </c>
      <c r="C24" s="11" t="inlineStr"/>
    </row>
    <row r="25">
      <c r="A25" s="11" t="inlineStr">
        <is>
          <t>Usable for engines</t>
        </is>
      </c>
      <c r="B25" s="11" t="inlineStr">
        <is>
          <t>~170 GB</t>
        </is>
      </c>
      <c r="C25" s="11" t="inlineStr">
        <is>
          <t>GTT pool (~180 GB) minus the resident set above. Every figure in the table below is measured against this 170 GB, not against the raw 192 GB. VERIFY V3 on first boot before anything depends on it</t>
        </is>
      </c>
    </row>
    <row r="27">
      <c r="A27" s="3" t="inlineStr">
        <is>
          <t>What fits together</t>
        </is>
      </c>
    </row>
    <row r="28">
      <c r="A28" s="10" t="inlineStr">
        <is>
          <t>Combination</t>
        </is>
      </c>
      <c r="B28" s="10" t="inlineStr">
        <is>
          <t>Total</t>
        </is>
      </c>
      <c r="C28" s="10" t="inlineStr">
        <is>
          <t>Verdict</t>
        </is>
      </c>
    </row>
    <row r="29">
      <c r="A29" s="11" t="inlineStr">
        <is>
          <t>gpt-oss-120b + Qwen2.5-VL-72B, both resident</t>
        </is>
      </c>
      <c r="B29" s="11" t="inlineStr">
        <is>
          <t>142 GB</t>
        </is>
      </c>
      <c r="C29" s="11" t="inlineStr">
        <is>
          <t>~28 GB for both caches. The everyday pairing: text and vision with no swap between them. The vision engine runs at 2 slots rather than 8 while co-resident (Section 4.3)</t>
        </is>
      </c>
    </row>
    <row r="30">
      <c r="A30" s="11" t="inlineStr">
        <is>
          <t>gpt-oss-120b + gpt-oss-120b abliterated</t>
        </is>
      </c>
      <c r="B30" s="11" t="inlineStr">
        <is>
          <t>126 GB</t>
        </is>
      </c>
      <c r="C30" s="11" t="inlineStr">
        <is>
          <t>~44 GB for both caches</t>
        </is>
      </c>
    </row>
    <row r="31">
      <c r="A31" s="11" t="inlineStr">
        <is>
          <t>Nemotron Q8_0 alone</t>
        </is>
      </c>
      <c r="B31" s="11" t="inlineStr">
        <is>
          <t>120–123 GB</t>
        </is>
      </c>
      <c r="C31" s="11" t="inlineStr">
        <is>
          <t>Comfortable, ~47 GB for cache</t>
        </is>
      </c>
    </row>
    <row r="32">
      <c r="A32" s="11" t="inlineStr">
        <is>
          <t>Qwen3.5-122B Q8_0 alone</t>
        </is>
      </c>
      <c r="B32" s="11" t="inlineStr">
        <is>
          <t>130 GB</t>
        </is>
      </c>
      <c r="C32" s="11" t="inlineStr">
        <is>
          <t>Comfortable, ~40 GB for cache</t>
        </is>
      </c>
    </row>
    <row r="33">
      <c r="A33" s="11" t="inlineStr">
        <is>
          <t>Nemotron Q8_0 + gpt-oss-120b, Ren and Arthur together</t>
        </is>
      </c>
      <c r="B33" s="11" t="inlineStr">
        <is>
          <t>186 GB</t>
        </is>
      </c>
      <c r="C33" s="11" t="inlineStr">
        <is>
          <t>Does not fit. Accepted by the Principal: hemispheres swap rather than co-reside. Nemotron at Q6_K (~95 GB) would restore it if ever wanted</t>
        </is>
      </c>
    </row>
    <row r="34">
      <c r="A34" s="11" t="inlineStr">
        <is>
          <t>DeepSeek V4 Flash UD-Q4_K_XL</t>
        </is>
      </c>
      <c r="B34" s="11" t="inlineStr">
        <is>
          <t>155 GB</t>
        </is>
      </c>
      <c r="C34" s="11" t="inlineStr">
        <is>
          <t>Runs alone. The Arbiter unloads any co-resident engine first. ~10–15 GB margin, so its context is capped accordingly</t>
        </is>
      </c>
    </row>
    <row r="35">
      <c r="A35"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2026-09-21T13:40:54Z</dcterms:created>
  <dcterms:modified xsi:type="dcterms:W3CDTF">2026-09-21T13:40:54Z</dcterms:modified>
</cp:coreProperties>
</file>