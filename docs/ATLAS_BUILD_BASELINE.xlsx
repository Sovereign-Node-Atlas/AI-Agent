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Risks'!$A$4:$G$32</definedName>
    <definedName name="_xlnm._FilterDatabase" localSheetId="4" hidden="1">'4 Verification'!$A$4:$E$28</definedName>
    <definedName name="_xlnm._FilterDatabase" localSheetId="5" hidden="1">'5 Checklist'!$A$4:$E$30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(2026-10-12). Ubuntu Server 26.04.1 re-confirmed over Fedora 44 KDE Plasma (C27); the Linux 7.4 NPU report reviewed, nothing to adopt (platform watch-list on Ref Hardware); the Arbiter's host memory reserve and the GA kernel hold added (S44, S45); the crash-kernel memory reclaimed, kdump switched off and panic=10 added so a kernel panic restarts the node (option (c), decided by the Principal on 2026-10-10, S48); kexec handover switched off with kho=off, so the memory it would set aside at boot can hold GPU memory (decided by the Principal the same day, S49); the hardware watchdog added, armed by systemd, so a node whose kernel or systemd stops is reset by the hardware (decided by the Principal on 2026-10-11, S50; V24 on sheet 4 checks that it is armed; the crash and watchdog tests are on the platform watch-list for the live ATLAS to lead with the Principal present, W-DRILL); where the board has none usable, a software watchdog stands in by default, deferred with a to-do, until the Principal decides whether to keep it; the Principal's ROCm 10.1 question answered: Ubuntu never delivers AMD's ROCm releases to the node, and Phase 4 stays on ROCm 10.0.0 until a deliberate re-test after Day 1, with torchaudio now pinned (2.11.0.2+rocm10.0.0), which closes the one way a 10.1 build could have reached the Phase 4 image, and the hang-report references and the stated reason for keeping ROCm off the host corrected (C2, R1 and R3 on sheets 2 and 3; approved by the Principal on 2026-10-11, S51); the Principal's question about context windows that waste memory answered: the vision engine's two-slot profile made standing, so the everyday pair with gpt-oss forms in production (V21 on sheet 4 proves the pair at that profile), every request kept inside its engine's slot because the pinned llama.cpp rejects a prompt longer than its slot on every engine and context shift is off on six of the eight, and each engine's context memory and host-RAM caches measured in Phase 3 for two new to-dos, kv-estimates and cache-ram (approved by the Principal on 2026-10-11, S52); the Principal's question about the 72-hour pruning answered: the design stands and is not made usage-adaptive; three small gaps closed before Day 1 (the window key PRUNE_WINDOW_HOURS made a visible setting that a re-run of its step never resets, a failed sweep pushed to the phone, graph archives carrying their text so a pruned graph note is restorable), the measurement layer and the approval-gated proposal path recorded as phased items with the events that bring each in, fully automatic adjustment excluded, and three risks added, R26 to R28 on sheet 3 (approved by the Principal on 2026-10-12, S53; acknowledged 2026-10-13). The Day 1 scripts are delivered under scripts/day1 and never stop on a missing input from the Principal (they ask once, defer, and keep a to-do list); every decision and resolution is confirmed and every risk acknowledged (R26 to R28 on 2026-10-13, when the Principal also confirmed Secure Boot enabled in the BIOS and the USB recovery drive in hand);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2026-10-08 (C27: Ubuntu kept; R22 to R25 acknowledged) and 2026-10-13 (R26 to R28 acknowledged); nothing on them still needs you. Sheet 5 records the Secure Boot BIOS setting made and the USB recovery drive in hand (both confirmed 2026-10-13) and lists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nothing required. The blank sheet 5 rows are optional and can be given at the prompt or left for the live ATLAS; sheet 5 row 17 still asks you to confirm that the installer's encryption option was taken (if it was not, Day 1 warns and records a to-do, never a stop).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Risks'!$A$5:$A$32)</f>
        <v/>
      </c>
      <c r="C23" s="12">
        <f>B23-G23</f>
        <v/>
      </c>
      <c r="D23" s="12">
        <f>COUNTIF('3 Risks'!$F$5:$F$32,"Yes")</f>
        <v/>
      </c>
      <c r="E23" s="12">
        <f>0</f>
        <v/>
      </c>
      <c r="F23" s="12">
        <f>COUNTIF('3 Risks'!$F$5:$F$32,"Discuss")</f>
        <v/>
      </c>
      <c r="G23" s="12">
        <f>COUNTBLANK('3 Risks'!$F$5:$F$32)</f>
        <v/>
      </c>
    </row>
    <row r="24">
      <c r="A24" s="11" t="inlineStr">
        <is>
          <t>4 Verification</t>
        </is>
      </c>
      <c r="B24" s="12">
        <f>COUNTA('4 Verification'!$A$5:$A$28)</f>
        <v/>
      </c>
      <c r="C24" s="12">
        <f>B24-G24</f>
        <v/>
      </c>
      <c r="D24" s="12">
        <f>COUNTIF('4 Verification'!$D$5:$D$28,"Pass")</f>
        <v/>
      </c>
      <c r="E24" s="12">
        <f>COUNTIF('4 Verification'!$D$5:$D$28,"Deferred")</f>
        <v/>
      </c>
      <c r="F24" s="12">
        <f>COUNTIF('4 Verification'!$D$5:$D$28,"Fail")</f>
        <v/>
      </c>
      <c r="G24" s="12">
        <f>COUNTBLANK('4 Verification'!$D$5:$D$28)+COUNTIF('4 Verification'!$D$5:$D$28,"Not yet run")</f>
        <v/>
      </c>
    </row>
    <row r="25">
      <c r="A25" s="11" t="inlineStr">
        <is>
          <t>5 Checklist</t>
        </is>
      </c>
      <c r="B25" s="12">
        <f>COUNTA('5 Checklist'!$A$5:$A$30)</f>
        <v/>
      </c>
      <c r="C25" s="12">
        <f>B25-G25</f>
        <v/>
      </c>
      <c r="D25" s="12">
        <f>COUNTIF('5 Checklist'!$D$5:$D$30,"Yes")+COUNTIF('5 Checklist'!$D$5:$D$30,"N/A")</f>
        <v/>
      </c>
      <c r="E25" s="12">
        <f>0</f>
        <v/>
      </c>
      <c r="F25" s="12">
        <f>COUNTIF('5 Checklist'!$D$5:$D$30,"No")</f>
        <v/>
      </c>
      <c r="G25" s="12">
        <f>COUNTBLANK('5 Checklist'!$D$5:$D$30)</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enabled it in the BIOS (confirmed 2026-10-13); it is a precondition in Section 22. Should pre-flight find it off, it warns, every V2 row notes the state and the to-do secure-boot stays open (no acknowledgement key exists any more; options (b) and (c) are withdrawn)</t>
        </is>
      </c>
      <c r="D19" s="11" t="inlineStr">
        <is>
          <t>Decided by the Principal: (a). R23 mitigated: the BIOS setting confirmed made on 2026-10-13; pre-flight verifies it on Day 1</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 Out of date since v0.3.5 (S51): AMD's ROCm 10.0.0 support data lists this chip on 26.04 with the GA 7.0 kernel and the in-box driver, and 26.04's universe carries ROCm 7.1 (VERIFIED)</t>
        </is>
      </c>
      <c r="C6" s="11" t="inlineStr">
        <is>
          <t>ROCm lives inside containers; host runs Vulkan only (3.4). The resolution stands for the design's own reasons: isolation, exact pinning, and independence from Ubuntu's ROCm line (3.4, S51)</t>
        </is>
      </c>
      <c r="D6" s="16" t="inlineStr">
        <is>
          <t>Accept</t>
        </is>
      </c>
      <c r="E6" s="17" t="inlineStr">
        <is>
          <t>Reason corrected in v0.3.5 (S51, approved by the Principal 2026-10-11); the resolution stands</t>
        </is>
      </c>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the BIOS setting confirmed made on 2026-10-13). R26 to R28 (v0.3.5, S53, 2026-10-12: the ledger's 30-day purge not yet wired into the sweep, Chroma 1.5.9's soft deletes, and the once-silent failed sweep, now pushed to the phone) acknowledged by the Principal on 2026-10-13.</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on gfx1151 fails in Phase 4. As first written: no official gfx1151 wheel, and the community wheel may break on update. Amended (S15, S51): AMD now publishes the wheels (ROCm 10.0.0, torch 2.13.0); what remains is the open hang report #6530 (3.4); S51 pinned torchaudio, the one package that could have pulled a build for another ROCm version into the image</t>
        </is>
      </c>
      <c r="C5" s="11" t="inlineStr">
        <is>
          <t>High</t>
        </is>
      </c>
      <c r="D5" s="11" t="inlineStr">
        <is>
          <t>High for Phase 4, none for the LLM layer</t>
        </is>
      </c>
      <c r="E5" s="11" t="inlineStr">
        <is>
          <t>Pin versions (every package the Dockerfile names from AMD's index, torchaudio included since S51), per-engine pass/fail, containerised so the host is untouched</t>
        </is>
      </c>
      <c r="F5" s="16" t="inlineStr">
        <is>
          <t>Yes</t>
        </is>
      </c>
      <c r="G5" s="17" t="inlineStr">
        <is>
          <t>Amended in v0.3.5 (S51, approved by the Principal 2026-10-11): wheel and hang-report facts corrected</t>
        </is>
      </c>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 Amended in v0.3.5 (S51): out of date, since AMD's ROCm 10.0.0 support data lists this chip on 26.04 with the GA 7.0 kernel and the in-box driver, and 26.04's universe carries ROCm 7.1 (VERIFIED)</t>
        </is>
      </c>
      <c r="C7" s="11" t="inlineStr">
        <is>
          <t>Low since S51 (was Certain)</t>
        </is>
      </c>
      <c r="D7" s="11" t="inlineStr">
        <is>
          <t>Medium</t>
        </is>
      </c>
      <c r="E7" s="11" t="inlineStr">
        <is>
          <t>Never install ROCm on the host, containers only (3.4), now for isolation, exact pinning and independence from Ubuntu's ROCm line</t>
        </is>
      </c>
      <c r="F7" s="16" t="inlineStr">
        <is>
          <t>Yes</t>
        </is>
      </c>
      <c r="G7" s="17" t="inlineStr">
        <is>
          <t>Amended in v0.3.5 (S51, approved by the Principal 2026-10-11): out of date, likelihood lowered from Certain to Low</t>
        </is>
      </c>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the Principal confirmed the BIOS setting made on 2026-10-13 (workbook sheet 5), so the risk is mitigated subject to pre-flight's own check on Day 1: were it found off, pre-flight warns, V2 notes it and the to-do secure-boot stays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R26</t>
        </is>
      </c>
      <c r="B21" s="11" t="inlineStr">
        <is>
          <t>The ledger's 30-day purge of operational rows (D9, 10.4) is written (Ledger.purge_expired, which refuses to run without an archive callback) but nothing calls it: arbiter_decisions, routing_decisions, tasks and decided approvals (30 days) and sentinel_pulses (365 days) grow without bound (VERIFIED at this commit; strikes are permanent by design)</t>
        </is>
      </c>
      <c r="C21" s="11" t="inlineStr">
        <is>
          <t>Certain that the tables grow; Low that it harms (one owner, small rows, a WAL SQLite file on the 8 TB drive, in every nightly backup)</t>
        </is>
      </c>
      <c r="D21" s="11" t="inlineStr">
        <is>
          <t>Low</t>
        </is>
      </c>
      <c r="E21" s="11" t="inlineStr">
        <is>
          <t>Phased item (S53, with the measurement layer in the first months): the sweep calls purge_expired with the cold archive as its callback. Until then the growth is slow and bounded only by disk, which Sentinel's hourly disk telemetry watches; the measurement layer also records the table sizes. New in v0.3.5 (S53)</t>
        </is>
      </c>
      <c r="F21" s="16" t="inlineStr">
        <is>
          <t>Yes</t>
        </is>
      </c>
      <c r="G21" s="17" t="inlineStr">
        <is>
          <t>Acknowledged 2026-10-13</t>
        </is>
      </c>
    </row>
    <row r="22">
      <c r="A22" s="12" t="inlineStr">
        <is>
          <t>R27</t>
        </is>
      </c>
      <c r="B22" s="11" t="inlineStr">
        <is>
          <t>The pinned Chroma 1.5.9 soft-deletes: a deleted vector is only marked in the HNSW index, labels are never reused, the index's capacity grows to the next power of two of everything ever added and never shrinks, and Chroma has no TTL (feature request #2139, open since 2024) and no compaction, so each collection's index tracks inserts ever, not live notes (VERIFIED in the source at the tag and in its hnswlib fork); a query falls back to brute force once more than a fifth of a small index is deleted</t>
        </is>
      </c>
      <c r="C22" s="11" t="inlineStr">
        <is>
          <t>Medium over years (chat turns are inserted and expire continually; Sentinel BLUFs yearly)</t>
        </is>
      </c>
      <c r="D22" s="11" t="inlineStr">
        <is>
          <t>Low (disk and RAM under the container's 8 GiB cap; one owner's volumes, roughly 4 to 6 KiB per vector, INFERRED)</t>
        </is>
      </c>
      <c r="E22" s="11" t="inlineStr">
        <is>
          <t>The sweep's measurement layer (phased, S53) records live counts per collection and cumulative inserts, the proxy for the tombstone count Chroma does not expose; a collection rebuild (re-insert the live documents into a fresh collection, re-embedding them, outside a backup freeze) when the inserted-ever to live ratio warrants it, as a Principal-approved maintenance proposal: W-CHROMA-REBUILD, at these volumes a yearly question at most. New in v0.3.5 (S53)</t>
        </is>
      </c>
      <c r="F22" s="16" t="inlineStr">
        <is>
          <t>Yes</t>
        </is>
      </c>
      <c r="G22" s="17" t="inlineStr">
        <is>
          <t>Acknowledged 2026-10-13</t>
        </is>
      </c>
    </row>
    <row r="23">
      <c r="A23" s="12" t="inlineStr">
        <is>
          <t>R28</t>
        </is>
      </c>
      <c r="B23" s="11" t="inlineStr">
        <is>
          <t>A sweep that failed inside the Celery worker was silent: atlas-prune.service touches its cadence stamp after a successful enqueue (no --wait), so systemd records success, nothing retries before the next 71-hour slot, and only the ledger's task row and the journal held the error; a broken store, a locked index or a full /srv/cold could have gone unnoticed for weeks (VERIFIED at e6cadea)</t>
        </is>
      </c>
      <c r="C23" s="11" t="inlineStr">
        <is>
          <t>Medium (any sweep failure; a long AEGIS freeze only spools, which is not a failure)</t>
        </is>
      </c>
      <c r="D23" s="11" t="inlineStr">
        <is>
          <t>Low (expired notes linger; nothing is lost, since the archive is written and verified before any delete)</t>
        </is>
      </c>
      <c r="E23" s="11" t="inlineStr">
        <is>
          <t>Since S53 the task pushes one ntfy line ("ATLAS prune: sweep failed", priority high) whether it raised or finished with errors, after the ledger row and before re-raising; the push can neither mask the error nor block the sweep. The sweep is still not retried before the next slot: the alert is what makes it visible, and the weekly summary with its two-in-a-row rule is a phased item. New in v0.3.5 (S53)</t>
        </is>
      </c>
      <c r="F23" s="16" t="inlineStr">
        <is>
          <t>Yes</t>
        </is>
      </c>
      <c r="G23" s="17" t="inlineStr">
        <is>
          <t>Acknowledged 2026-10-13</t>
        </is>
      </c>
    </row>
    <row r="24">
      <c r="A24" s="12" t="inlineStr">
        <is>
          <t>R10</t>
        </is>
      </c>
      <c r="B24" s="11" t="inlineStr">
        <is>
          <t>Sustained thermal load in a small chassis</t>
        </is>
      </c>
      <c r="C24" s="11" t="inlineStr">
        <is>
          <t>Medium</t>
        </is>
      </c>
      <c r="D24" s="11" t="inlineStr">
        <is>
          <t>Low</t>
        </is>
      </c>
      <c r="E24" s="11" t="inlineStr">
        <is>
          <t>Monitor temperatures in Cockpit; the chip's configurable ceiling is 120 W and the Principal is adding external cooling</t>
        </is>
      </c>
      <c r="F24" s="16" t="inlineStr">
        <is>
          <t>Yes</t>
        </is>
      </c>
      <c r="G24" s="17" t="n"/>
    </row>
    <row r="25">
      <c r="A25" s="12" t="inlineStr">
        <is>
          <t>R11</t>
        </is>
      </c>
      <c r="B25" s="11" t="inlineStr">
        <is>
          <t>CGNAT prevents inbound WireGuard</t>
        </is>
      </c>
      <c r="C25" s="11" t="inlineStr">
        <is>
          <t>Low, port forward already succeeded</t>
        </is>
      </c>
      <c r="D25" s="11" t="inlineStr">
        <is>
          <t>High for remote access</t>
        </is>
      </c>
      <c r="E25" s="11" t="inlineStr">
        <is>
          <t>V5 from mobile data, static IP from the ISP if needed</t>
        </is>
      </c>
      <c r="F25" s="16" t="inlineStr">
        <is>
          <t>Yes</t>
        </is>
      </c>
      <c r="G25" s="17" t="n"/>
    </row>
    <row r="26">
      <c r="A26" s="12" t="inlineStr">
        <is>
          <t>R12</t>
        </is>
      </c>
      <c r="B26" s="11" t="inlineStr">
        <is>
          <t>Fictitious directors corresponding as humans, AI non-disclosure</t>
        </is>
      </c>
      <c r="C26" s="11" t="inlineStr">
        <is>
          <t>Medium</t>
        </is>
      </c>
      <c r="D26" s="11" t="inlineStr">
        <is>
          <t>Medium to high, legal</t>
        </is>
      </c>
      <c r="E26" s="11" t="inlineStr">
        <is>
          <t>Gideon's sensitive-tier check, approval gate, 16.5</t>
        </is>
      </c>
      <c r="F26" s="16" t="inlineStr">
        <is>
          <t>Yes</t>
        </is>
      </c>
      <c r="G26" s="17" t="n"/>
    </row>
    <row r="27">
      <c r="A27" s="12" t="inlineStr">
        <is>
          <t>R13</t>
        </is>
      </c>
      <c r="B27" s="11" t="inlineStr">
        <is>
          <t>Abliterated engine used for external output</t>
        </is>
      </c>
      <c r="C27" s="11" t="inlineStr">
        <is>
          <t>Medium</t>
        </is>
      </c>
      <c r="D27" s="11" t="inlineStr">
        <is>
          <t>Medium</t>
        </is>
      </c>
      <c r="E27" s="11" t="inlineStr">
        <is>
          <t>Abliterated output always passes the same gate, never routine tier</t>
        </is>
      </c>
      <c r="F27" s="16" t="inlineStr">
        <is>
          <t>Yes</t>
        </is>
      </c>
      <c r="G27" s="17" t="n"/>
    </row>
    <row r="28">
      <c r="A28" s="12" t="inlineStr">
        <is>
          <t>R14</t>
        </is>
      </c>
      <c r="B28" s="11" t="inlineStr">
        <is>
          <t>Chatterbox continuation quirk in production speech</t>
        </is>
      </c>
      <c r="C28" s="11" t="inlineStr">
        <is>
          <t>Medium</t>
        </is>
      </c>
      <c r="D28" s="11" t="inlineStr">
        <is>
          <t>Low</t>
        </is>
      </c>
      <c r="E28" s="11" t="inlineStr">
        <is>
          <t>V7 testing, Kokoro fallback per line</t>
        </is>
      </c>
      <c r="F28" s="16" t="inlineStr">
        <is>
          <t>Yes</t>
        </is>
      </c>
      <c r="G28" s="17" t="n"/>
    </row>
    <row r="29">
      <c r="A29" s="12" t="inlineStr">
        <is>
          <t>R15</t>
        </is>
      </c>
      <c r="B29" s="11" t="inlineStr">
        <is>
          <t>Prompt bloat from domain injection makes every dispatch slow</t>
        </is>
      </c>
      <c r="C29" s="11" t="inlineStr">
        <is>
          <t>High without limits</t>
        </is>
      </c>
      <c r="D29" s="11" t="inlineStr">
        <is>
          <t>High, usability</t>
        </is>
      </c>
      <c r="E29" s="11" t="inlineStr">
        <is>
          <t>Three-card limit, compact cards, stable-prefix ordering (8.4, 4.4)</t>
        </is>
      </c>
      <c r="F29" s="16" t="inlineStr">
        <is>
          <t>Yes</t>
        </is>
      </c>
      <c r="G29" s="17" t="n"/>
    </row>
    <row r="30">
      <c r="A30" s="12" t="inlineStr">
        <is>
          <t>R16</t>
        </is>
      </c>
      <c r="B30" s="11" t="inlineStr">
        <is>
          <t>Backup passphrase or LUKS key lost with the node</t>
        </is>
      </c>
      <c r="C30" s="11" t="inlineStr">
        <is>
          <t>Low</t>
        </is>
      </c>
      <c r="D30" s="11" t="inlineStr">
        <is>
          <t>Catastrophic</t>
        </is>
      </c>
      <c r="E30"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30" s="16" t="inlineStr">
        <is>
          <t>Yes</t>
        </is>
      </c>
      <c r="G30" s="17" t="n"/>
    </row>
    <row r="31">
      <c r="A31" s="12" t="inlineStr">
        <is>
          <t>R17</t>
        </is>
      </c>
      <c r="B31" s="11" t="inlineStr">
        <is>
          <t>PyAnnote gated model not accepted, diarisation silently absent</t>
        </is>
      </c>
      <c r="C31" s="11" t="inlineStr">
        <is>
          <t>Medium</t>
        </is>
      </c>
      <c r="D31" s="11" t="inlineStr">
        <is>
          <t>Low</t>
        </is>
      </c>
      <c r="E31" s="11" t="inlineStr">
        <is>
          <t>V6</t>
        </is>
      </c>
      <c r="F31" s="16" t="inlineStr">
        <is>
          <t>Yes</t>
        </is>
      </c>
      <c r="G31" s="17" t="n"/>
    </row>
    <row r="32">
      <c r="A32" s="12" t="inlineStr">
        <is>
          <t>R18</t>
        </is>
      </c>
      <c r="B32" s="11" t="inlineStr">
        <is>
          <t>Continuous vision enabled by drift rather than decision</t>
        </is>
      </c>
      <c r="C32" s="11" t="inlineStr">
        <is>
          <t>Low</t>
        </is>
      </c>
      <c r="D32" s="11" t="inlineStr">
        <is>
          <t>High, privacy</t>
        </is>
      </c>
      <c r="E32" s="11" t="inlineStr">
        <is>
          <t>Separate capability flag under Alaric, logged, D8 item 7</t>
        </is>
      </c>
      <c r="F32" s="16" t="inlineStr">
        <is>
          <t>Yes</t>
        </is>
      </c>
      <c r="G32" s="17" t="n"/>
    </row>
  </sheetData>
  <autoFilter ref="A4:G32"/>
  <conditionalFormatting sqref="F5:F32">
    <cfRule type="cellIs" priority="1" operator="equal" dxfId="0">
      <formula>"Yes"</formula>
    </cfRule>
    <cfRule type="cellIs" priority="2" operator="equal" dxfId="1">
      <formula>"Discuss"</formula>
    </cfRule>
  </conditionalFormatting>
  <dataValidations count="1">
    <dataValidation sqref="F5:F32"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160000 MiB (156.25 GiB) of Vulkan device memory and records the figure, which is not the engine budget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AMD's gfx1151 PyTorch wheels (pinned ROCm 10.0.0 / torch 2.13.0 / torchvision 0.28.0 / torchaudio 2.11.0.2) pass tensor, matmul and diffusion self-tests; since S51 torchaudio's installed version must also be exactly the pin, 2.11.0.2+rocm10.0.0 (whether it imports is recorded, not required: an import failure fails CosyVoice 2 and Stable Audio Open, not Phase 4)</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 since S52 the vision engine runs its standing 2 × 32k profile, so the pair proved is the one production runs</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sheetData>
  <autoFilter ref="A4:E28"/>
  <conditionalFormatting sqref="D5:D28">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8"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the rows added or reopened since were closed as each records: D15 decided and the Windows share deferred on 2026-10-05, C27 decided and R22 to R25 acknowledged by the Principal on 2026-10-08, and the Secure Boot BIOS setting, the USB recovery drive and R26 to R28 ticked in the workbook returned 2026-10-13. Blank rows: the optional items the scripts ask for at a prompt (Yes when provided, N/A to leave them for the live ATLAS to-do list). Nothing required before Phase 1 is open: the Secure Boot row and the install rows are ticked. One request still stands on row 17, to confirm that the installer's encryption option (Encrypt the LVM group with LUKS) was taken; pre-flight checks the OS volume on Day 1, and an unencrypted one is a warning and the to-do os-volume-encryption, never a stop.</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Drive in hand, confirmed by the Principal on 2026-10-13; the writing itself stays a Day 1 close-out step. *Reworded in v0.3.2: the material does not exist before Day 1, so the drive cannot be "stored" yet.*</t>
        </is>
      </c>
      <c r="D8" s="16" t="inlineStr">
        <is>
          <t>Yes</t>
        </is>
      </c>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 Done, confirmed by the Principal on 2026-10-13; pre-flight verifies it on Day 1.</t>
        </is>
      </c>
      <c r="D9" s="16" t="inlineStr">
        <is>
          <t>Yes</t>
        </is>
      </c>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row r="30">
      <c r="A30" s="12" t="n">
        <v>26</v>
      </c>
      <c r="B30" s="11" t="inlineStr">
        <is>
          <t>Accepted resolutions</t>
        </is>
      </c>
      <c r="C30" s="11" t="inlineStr">
        <is>
          <t>R26 to R28 acknowledged by the Principal on 2026-10-13 (all three new in v0.3.5, S53, 2026-10-12; sheet 3).</t>
        </is>
      </c>
      <c r="D30" s="16" t="inlineStr">
        <is>
          <t>Yes</t>
        </is>
      </c>
      <c r="E30" s="17" t="n"/>
    </row>
  </sheetData>
  <autoFilter ref="A4:E30"/>
  <conditionalFormatting sqref="D5:D30">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30"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 configuration proposals from Domain 20 (retention, window, maintenance; S53), submitted by a hemisphere lead in the Principal register</t>
        </is>
      </c>
      <c r="C18" s="11" t="inlineStr">
        <is>
          <t>Drafted, held until the Principal approves. For a configuration proposal the approval records the decision and the Principal applies the change as root (16.3 item 6); ATLAS applies nothing</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 Last, step 5 raises the to-do w-drill, the crash and watchdog tests the live ATLAS runs later with the Principal present (3.7 W-DRILL).*</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160000 MiB of device memory),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 *v0.3.5 (S52): each load (each rung of the DeepSeek ladder that loaded) also keeps a record, never a verdict, of what that load's own log says: its context memory (the K/V cache, the recurrent state of the hybrids and DeepSeek's compressor state) beside the Arbiter's projection for the same profile, its compute buffers and slot window, whether llama-server switched context shift off, and the prompt-cache and checkpoint lines; and of its host RAM, read-only from the unit's main process, after the load and after the tests. A line not found is UNKNOWN, nothing in the record fails anything, and the record itself changes no engine setting. The size lines, like V4's proof line, are logged only because every chat engine runs at llama-server verbosity 4 (--verbosity 4, rendered into each unit by phase2/engine-env.py; the pinned build drops them at the default 3). The vision engine is measured at its standing 2 × 32k profile.*</t>
        </is>
      </c>
    </row>
    <row r="38">
      <c r="A38" s="11" t="inlineStr">
        <is>
          <t>Phase 3</t>
        </is>
      </c>
      <c r="B38" s="11" t="inlineStr">
        <is>
          <t>3. Two-residency test: load gpt-oss-120b and Qwen2.5-VL-72B together, confirm both hold at ~142 GB, and confirm a second generation request queues rather than running concurrently (V14, V21). *v0.3.5 (S52): both units run exactly as production renders them, the vision engine at its standing 2 × 32k profile, checked on the rendered unit before the load; no temporary override is written or restored any more. If the Principal has set the 8-slot profile (overrides.json coresident=false) the step stops with that reason and the command that restores the standing profile, rather than test a pair production would not run.*</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 *v0.3.5 (S52): before the table, the records of step 2, plus the resident router's current log and host RAM (read-only), become two to-dos for the Principal: kv-estimates (each engine's measured context memory against the Arbiter's estimate, and whether to correct the estimates) and cache-ram (each server's host RAM, what its log says of the prompt cache and the checkpoints, and suggested explicit --cache-ram and --ctx-checkpoints values, INFERRED). Both are always raised, with UNKNOWN where a figure is missing, and neither affects the gate.*</t>
        </is>
      </c>
    </row>
    <row r="40">
      <c r="A40" s="11" t="inlineStr">
        <is>
          <t>Phase 4</t>
        </is>
      </c>
      <c r="B40" s="11" t="inlineStr">
        <is>
          <t>1. Inside the base ROCm container, confirm rocminfo reports gfx1151, then self-test AMD's gfx1151 PyTorch wheels (pinned ROCm 10.0.0 / torch 2.13.0 / torchvision 0.28.0 / torchaudio 2.11.0.2): tensor on GPU, matmul, a small diffusion step, and, since S51, torchaudio is exactly the pinned build (V11; whether it imports is recorded, and a failed import fails only the two engines that use it).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4"/>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164 GiB is free for engines once the GPU resident set and the 16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 Phase 1 step 5 puts the tests on the to-do list the live ATLAS works from (w-drill), and raises them again whenever step 5 runs after the live ATLAS has closed them</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t>
        </is>
      </c>
    </row>
    <row r="25">
      <c r="A25" s="3" t="inlineStr">
        <is>
          <t>Memory budget</t>
        </is>
      </c>
    </row>
    <row r="26">
      <c r="A26" s="10" t="inlineStr">
        <is>
          <t>Consumer</t>
        </is>
      </c>
      <c r="B26" s="10" t="inlineStr">
        <is>
          <t>Budget</t>
        </is>
      </c>
      <c r="C26" s="10" t="inlineStr">
        <is>
          <t>Notes</t>
        </is>
      </c>
    </row>
    <row r="27">
      <c r="A27" s="11" t="inlineStr">
        <is>
          <t>Ubuntu Server, XFCE, Docker, Cockpit</t>
        </is>
      </c>
      <c r="B27" s="11" t="inlineStr">
        <is>
          <t>4 GB</t>
        </is>
      </c>
      <c r="C27" s="11" t="inlineStr">
        <is>
          <t>XFCE adds roughly 0.5 GB over the headless figure in v0.1</t>
        </is>
      </c>
    </row>
    <row r="28">
      <c r="A28" s="11" t="inlineStr">
        <is>
          <t>Open WebUI, ChromaDB, graph store, embedding model</t>
        </is>
      </c>
      <c r="B28" s="11" t="inlineStr">
        <is>
          <t>4 GB</t>
        </is>
      </c>
      <c r="C28" s="11" t="inlineStr"/>
    </row>
    <row r="29">
      <c r="A29" s="11" t="inlineStr">
        <is>
          <t>Eleanor's resident router model, 4B class</t>
        </is>
      </c>
      <c r="B29" s="11" t="inlineStr">
        <is>
          <t>4 GB</t>
        </is>
      </c>
      <c r="C29" s="11" t="inlineStr">
        <is>
          <t>Always loaded</t>
        </is>
      </c>
    </row>
    <row r="30">
      <c r="A30" s="11" t="inlineStr">
        <is>
          <t>Kokoro, Whisper Large-v3-Turbo, PyAnnote</t>
        </is>
      </c>
      <c r="B30" s="11" t="inlineStr">
        <is>
          <t>3 GB</t>
        </is>
      </c>
      <c r="C30" s="11" t="inlineStr">
        <is>
          <t>Always loaded</t>
        </is>
      </c>
    </row>
    <row r="31">
      <c r="A31" s="11" t="inlineStr">
        <is>
          <t>Orchestrator, Celery workers, Redis, Sentinel, ntfy, WG-Easy</t>
        </is>
      </c>
      <c r="B31" s="11" t="inlineStr">
        <is>
          <t>1–2 GB</t>
        </is>
      </c>
      <c r="C31" s="11" t="inlineStr"/>
    </row>
    <row r="32">
      <c r="A32" s="11" t="inlineStr">
        <is>
          <t>Always-resident subtotal</t>
        </is>
      </c>
      <c r="B32" s="11" t="inlineStr">
        <is>
          <t>~17 GB</t>
        </is>
      </c>
      <c r="C32" s="11" t="inlineStr"/>
    </row>
    <row r="33">
      <c r="A33" s="11" t="inlineStr">
        <is>
          <t>Usable for engines</t>
        </is>
      </c>
      <c r="B33" s="11" t="inlineStr">
        <is>
          <t>~164 GiB (expected)</t>
        </is>
      </c>
      <c r="C33"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Apex engine's f16 and q8_0 rungs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(6 to 8) − 16 = 163 to 166 GiB, about 164 GiB expected. The Apex engine's largest KV-ladder rungs (q8_0 160.3 GiB, f16 160.0 GiB, S2) fit while MemTotal is at least 160.3 + 16 + (6 to 8) = about 182.3 to 184.3 GiB, which leaves about 3 to 5 GiB to spare (2.7 to 5.7 at the extremes of the ranges). With the reservation still in place MemTotal would be about 183 to 184 GiB, below that threshold at the larger resident set (183.5 − 8 − 16 = 159.5 GiB refuses the f16 and q8_0 rungs), so V3a fails on any reserved crash-kernel memory. Every figure in the table below is measured against this budget, not against the raw 192 GB. VERIFY V3 on first boot before anything depends on it</t>
        </is>
      </c>
    </row>
    <row r="34">
      <c r="A34" s="2" t="inlineStr">
        <is>
          <t>v0.3.5 (S44, S48, S49): the Engine Arbiter budgets from min(GTT total, MemTotal) and keeps a 16 GiB host reserve for what the GPU memory counter never sees: the CPU-side rows (about 12 GB) plus transient CPU work and kernel overhead. It fits every Apex KV-ladder rung; at the larger GPU resident set (about 7-8 GiB) the f16 and q8_0 rungs fit only because Phase 1 step 4 removes the 4.25 GiB that kdump-tools reserves for a crash kernel (option (c), decided by the Principal on 2026-10-10), which V3a proves. MemTotal is the real limit only because step 4 also puts kho=off on the kernel line (S49, decided the same day): with kexec handover on, Ubuntu's 7.0 kernel would keep about 13 GiB of MemTotal as CMA scratch that GTT pages cannot use, and V3a fails while any of it is set aside. ATLAS_ARBITER_HEADROOM_GIB in orchestrator.env changes the reserve (S44, S47). The same reserve also carries each chat llama-server's host-RAM prompt cache (up to 8 GiB per server by default) and its context checkpoints, which the GPU counter never sees either; Phase 3 measures them and raises the to-do cache-ram (S52).</t>
        </is>
      </c>
    </row>
    <row r="36">
      <c r="A36" s="3" t="inlineStr">
        <is>
          <t>What fits together</t>
        </is>
      </c>
    </row>
    <row r="37">
      <c r="A37" s="10" t="inlineStr">
        <is>
          <t>Combination</t>
        </is>
      </c>
      <c r="B37" s="10" t="inlineStr">
        <is>
          <t>Total</t>
        </is>
      </c>
      <c r="C37" s="10" t="inlineStr">
        <is>
          <t>Verdict</t>
        </is>
      </c>
    </row>
    <row r="38">
      <c r="A38" s="11" t="inlineStr">
        <is>
          <t>gpt-oss-120b + Qwen2.5-VL-72B, both resident</t>
        </is>
      </c>
      <c r="B38" s="11" t="inlineStr">
        <is>
          <t>142 GB</t>
        </is>
      </c>
      <c r="C38" s="11" t="inlineStr">
        <is>
          <t>~22 GiB for both caches (the projected pair, caches included, is 157.7 GiB). The everyday pairing: text and vision with no swap between them. The vision engine runs 2 slots rather than 8 (2 × 32k, --ctx-size 65536); since v0.3.5 that is its standing profile, alone or paired, so the pair forms in production (S52). Until then only a temporary override set that profile, and at the 8 slots the unit kept (121.5 GiB projected for vision alone) the Arbiter would have swapped gpt-oss out rather than pair them (VERIFIED in simulation with the real Arbiter code). The 8-slot profile runs only if the Principal sets it explicitly (overrides.json coresident=false), and then the pair does not form (Section 4.3)</t>
        </is>
      </c>
    </row>
    <row r="39">
      <c r="A39" s="11" t="inlineStr">
        <is>
          <t>gpt-oss-120b + gpt-oss-120b abliterated</t>
        </is>
      </c>
      <c r="B39" s="11" t="inlineStr">
        <is>
          <t>126 GB</t>
        </is>
      </c>
      <c r="C39" s="11" t="inlineStr">
        <is>
          <t>~38 GiB for both caches</t>
        </is>
      </c>
    </row>
    <row r="40">
      <c r="A40" s="11" t="inlineStr">
        <is>
          <t>Nemotron Q8_0 alone</t>
        </is>
      </c>
      <c r="B40" s="11" t="inlineStr">
        <is>
          <t>120–123 GB</t>
        </is>
      </c>
      <c r="C40" s="11" t="inlineStr">
        <is>
          <t>Comfortable, ~41 GiB for cache</t>
        </is>
      </c>
    </row>
    <row r="41">
      <c r="A41" s="11" t="inlineStr">
        <is>
          <t>Qwen3.5-122B Q8_0 alone</t>
        </is>
      </c>
      <c r="B41" s="11" t="inlineStr">
        <is>
          <t>130 GB</t>
        </is>
      </c>
      <c r="C41" s="11" t="inlineStr">
        <is>
          <t>Comfortable, ~34 GiB for cache</t>
        </is>
      </c>
    </row>
    <row r="42">
      <c r="A42" s="11" t="inlineStr">
        <is>
          <t>Nemotron Q8_0 + gpt-oss-120b, Ren and Arthur together</t>
        </is>
      </c>
      <c r="B42" s="11" t="inlineStr">
        <is>
          <t>186 GB</t>
        </is>
      </c>
      <c r="C42" s="11" t="inlineStr">
        <is>
          <t>Does not fit. Accepted by the Principal: hemispheres swap rather than co-reside. Nemotron at Q6_K (~95 GB) would restore it if ever wanted</t>
        </is>
      </c>
    </row>
    <row r="43">
      <c r="A43" s="11" t="inlineStr">
        <is>
          <t>DeepSeek V4 Flash UD-Q4_K_XL</t>
        </is>
      </c>
      <c r="B43" s="11" t="inlineStr">
        <is>
          <t>155 GB</t>
        </is>
      </c>
      <c r="C43" s="11" t="inlineStr">
        <is>
          <t>Runs alone. The Arbiter unloads any co-resident engine first. About 8 to 10 GiB margin, so its context is capped accordingly; every rung of its KV ladder (at most 160.3 GiB projected, S2) fits the budget. At the larger GPU resident set (about 7 to 8 GiB) the f16 and q8_0 rungs fit only because step 4 removes the crash-kernel reservation (S48), and with kexec handover on they would likely run out of memory that GTT pages can use (S49)</t>
        </is>
      </c>
    </row>
    <row r="44">
      <c r="A44" s="2" t="inlineStr">
        <is>
          <t>Two engines may be resident; exactly one generates at a time, everywhere, including Celery jobs (Section 4.2, C26). Since S52 the vision engine runs its two-slot profile (2 × 32k) as its standing one, so the everyday pair with gpt-oss forms in 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2026-10-13T02:46:02Z</dcterms:created>
  <dcterms:modified xsi:type="dcterms:W3CDTF">2026-10-13T02:46:02Z</dcterms:modified>
</cp:coreProperties>
</file>