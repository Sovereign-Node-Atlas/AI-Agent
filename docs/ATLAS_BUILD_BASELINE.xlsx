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1 Decisions" sheetId="2" state="visible" r:id="rId2"/>
    <sheet name="2 Resolutions" sheetId="3" state="visible" r:id="rId3"/>
    <sheet name="3 Risks" sheetId="4" state="visible" r:id="rId4"/>
    <sheet name="4 Verification" sheetId="5" state="visible" r:id="rId5"/>
    <sheet name="5 Checklist" sheetId="6" state="visible" r:id="rId6"/>
    <sheet name="Ref Engines" sheetId="7" state="visible" r:id="rId7"/>
    <sheet name="Ref Domains" sheetId="8" state="visible" r:id="rId8"/>
    <sheet name="Ref Task Forces" sheetId="9" state="visible" r:id="rId9"/>
    <sheet name="Ref Integrations" sheetId="10" state="visible" r:id="rId10"/>
    <sheet name="Ref Voice" sheetId="11" state="visible" r:id="rId11"/>
    <sheet name="Ref Multimodal" sheetId="12" state="visible" r:id="rId12"/>
    <sheet name="Ref Governance" sheetId="13" state="visible" r:id="rId13"/>
    <sheet name="Ref Day 1" sheetId="14" state="visible" r:id="rId14"/>
    <sheet name="Ref Hardware" sheetId="15" state="visible" r:id="rId15"/>
  </sheets>
  <definedNames>
    <definedName name="_xlnm._FilterDatabase" localSheetId="1" hidden="1">'1 Decisions'!$A$4:$F$19</definedName>
    <definedName name="_xlnm._FilterDatabase" localSheetId="2" hidden="1">'2 Resolutions'!$A$4:$E$31</definedName>
    <definedName name="_xlnm._FilterDatabase" localSheetId="3" hidden="1">'3 Risks'!$A$4:$G$29</definedName>
    <definedName name="_xlnm._FilterDatabase" localSheetId="4" hidden="1">'4 Verification'!$A$4:$E$28</definedName>
    <definedName name="_xlnm._FilterDatabase" localSheetId="5" hidden="1">'5 Checklist'!$A$4:$E$29</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sz val="14"/>
    </font>
    <font>
      <name val="Arial"/>
      <i val="1"/>
      <color rgb="00555555"/>
      <sz val="9"/>
    </font>
    <font>
      <name val="Arial"/>
      <b val="1"/>
      <color rgb="00FFFFFF"/>
      <sz val="10"/>
    </font>
    <font>
      <name val="Arial"/>
      <sz val="10"/>
    </font>
    <font>
      <name val="Arial"/>
      <b val="1"/>
      <sz val="10"/>
    </font>
  </fonts>
  <fills count="8">
    <fill>
      <patternFill/>
    </fill>
    <fill>
      <patternFill patternType="gray125"/>
    </fill>
    <fill>
      <patternFill patternType="solid">
        <fgColor rgb="001F3864"/>
      </patternFill>
    </fill>
    <fill>
      <patternFill patternType="solid">
        <fgColor rgb="00FFFF00"/>
      </patternFill>
    </fill>
    <fill>
      <patternFill patternType="solid">
        <fgColor rgb="00C6EFCE"/>
      </patternFill>
    </fill>
    <fill>
      <patternFill patternType="solid">
        <fgColor rgb="00FFEB9C"/>
      </patternFill>
    </fill>
    <fill>
      <patternFill patternType="solid">
        <fgColor rgb="00FFC7CE"/>
      </patternFill>
    </fill>
    <fill>
      <patternFill patternType="solid">
        <fgColor rgb="00E7E6E6"/>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8">
    <xf numFmtId="0" fontId="0" fillId="0" borderId="0" pivotButton="0" quotePrefix="0" xfId="0"/>
    <xf numFmtId="0" fontId="1" fillId="0" borderId="0" pivotButton="0" quotePrefix="0" xfId="0"/>
    <xf numFmtId="0" fontId="2" fillId="0" borderId="0" pivotButton="0" quotePrefix="0" xfId="0"/>
    <xf numFmtId="0" fontId="5" fillId="0" borderId="0" pivotButton="0" quotePrefix="0" xfId="0"/>
    <xf numFmtId="0" fontId="4" fillId="0" borderId="0" pivotButton="0" quotePrefix="0" xfId="0"/>
    <xf numFmtId="0" fontId="4" fillId="3" borderId="1" pivotButton="0" quotePrefix="0" xfId="0"/>
    <xf numFmtId="0" fontId="4" fillId="0" borderId="1" pivotButton="0" quotePrefix="0" xfId="0"/>
    <xf numFmtId="0" fontId="4" fillId="4" borderId="1" pivotButton="0" quotePrefix="0" xfId="0"/>
    <xf numFmtId="0" fontId="4" fillId="5" borderId="1" pivotButton="0" quotePrefix="0" xfId="0"/>
    <xf numFmtId="0" fontId="4" fillId="6" borderId="1" pivotButton="0" quotePrefix="0" xfId="0"/>
    <xf numFmtId="0" fontId="3" fillId="2" borderId="1" applyAlignment="1" pivotButton="0" quotePrefix="0" xfId="0">
      <alignment horizontal="center" vertical="top" wrapText="1"/>
    </xf>
    <xf numFmtId="0" fontId="4" fillId="0" borderId="1" applyAlignment="1" pivotButton="0" quotePrefix="0" xfId="0">
      <alignment vertical="top" wrapText="1"/>
    </xf>
    <xf numFmtId="0" fontId="4" fillId="0" borderId="1" applyAlignment="1" pivotButton="0" quotePrefix="0" xfId="0">
      <alignment horizontal="center" vertical="top" wrapText="1"/>
    </xf>
    <xf numFmtId="0" fontId="5" fillId="0" borderId="1" applyAlignment="1" pivotButton="0" quotePrefix="0" xfId="0">
      <alignment horizontal="center" vertical="top" wrapText="1"/>
    </xf>
    <xf numFmtId="0" fontId="4" fillId="6" borderId="1" applyAlignment="1" pivotButton="0" quotePrefix="0" xfId="0">
      <alignment vertical="top" wrapText="1"/>
    </xf>
    <xf numFmtId="0" fontId="4" fillId="7" borderId="1" applyAlignment="1" pivotButton="0" quotePrefix="0" xfId="0">
      <alignment vertical="top" wrapText="1"/>
    </xf>
    <xf numFmtId="0" fontId="4" fillId="3" borderId="1" applyAlignment="1" pivotButton="0" quotePrefix="0" xfId="0">
      <alignment horizontal="center" vertical="top" wrapText="1"/>
    </xf>
    <xf numFmtId="0" fontId="4" fillId="3" borderId="1" applyAlignment="1" pivotButton="0" quotePrefix="0" xfId="0">
      <alignment vertical="top" wrapText="1"/>
    </xf>
  </cellXfs>
  <cellStyles count="1">
    <cellStyle name="Normal" xfId="0" builtinId="0" hidden="0"/>
  </cellStyles>
  <dxfs count="3">
    <dxf>
      <fill>
        <patternFill patternType="solid">
          <fgColor rgb="00C6EFCE"/>
        </patternFill>
      </fill>
    </dxf>
    <dxf>
      <fill>
        <patternFill patternType="solid">
          <fgColor rgb="00FFC7CE"/>
        </patternFill>
      </fill>
    </dxf>
    <dxf>
      <fill>
        <patternFill patternType="solid">
          <f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styles" Target="styles.xml" Id="rId16" /><Relationship Type="http://schemas.openxmlformats.org/officeDocument/2006/relationships/theme" Target="theme/theme1.xml" Id="rId1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2"/>
  <sheetViews>
    <sheetView showGridLines="0" workbookViewId="0">
      <selection activeCell="A1" sqref="A1"/>
    </sheetView>
  </sheetViews>
  <sheetFormatPr baseColWidth="8" defaultRowHeight="15"/>
  <cols>
    <col width="26" customWidth="1" min="1" max="1"/>
    <col width="40" customWidth="1" min="2" max="2"/>
    <col width="30" customWidth="1" min="3" max="3"/>
    <col width="14" customWidth="1" min="4" max="4"/>
    <col width="22" customWidth="1" min="5" max="5"/>
    <col width="40" customWidth="1" min="6" max="6"/>
    <col width="24" customWidth="1" min="7" max="7"/>
  </cols>
  <sheetData>
    <row r="1">
      <c r="A1" s="1" t="inlineStr">
        <is>
          <t>A.T.L.A.S. Build Baseline</t>
        </is>
      </c>
    </row>
    <row r="2">
      <c r="A2" s="2" t="inlineStr">
        <is>
          <t>Companion to docs/ATLAS_FRAMEWORK_REVIEW.md v0.3.5 (2026-10-11). Ubuntu Server 26.04.1 re-confirmed over Fedora 44 KDE Plasma (C27); the Linux 7.4 NPU report reviewed, nothing to adopt (platform watch-list on Ref Hardware); the Arbiter's host memory reserve and the GA kernel hold added (S44, S45); the crash-kernel memory reclaimed, kdump switched off and panic=10 added so a kernel panic restarts the node (option (c), decided by the Principal on 2026-10-10, S48); kexec handover switched off with kho=off, so the memory it would set aside at boot can hold GPU memory (decided by the Principal the same day, S49); the hardware watchdog added, armed by systemd, so a node whose kernel or systemd stops is reset by the hardware (decided by the Principal on 2026-10-11, S50; V24 on sheet 4 checks that it is armed); where the board has none usable, a software watchdog stands in by default, deferred with a to-do, until the Principal decides whether to keep it. The Day 1 scripts are delivered under scripts/day1 and never stop on a missing input from the Principal (they ask once, defer, and keep a to-do list); every decision, resolution and risk is now confirmed; this workbook is the closed record, plus the optional pre-execution rows on sheet 5. Nothing has been executed.</t>
        </is>
      </c>
    </row>
    <row r="4">
      <c r="A4" s="3" t="inlineStr">
        <is>
          <t>How to use this workbook</t>
        </is>
      </c>
    </row>
    <row r="5">
      <c r="A5" s="4" t="inlineStr">
        <is>
          <t>1. Sheets 1, 2 and 3 are a record of your answers of 2026-09-21, 2026-10-05 (D15: Secure Boot enabled) and 2026-10-08 (C27: Ubuntu kept; R22 to R25 acknowledged). Nothing on them still needs you. Sheet 5 lists the one new precondition (Secure Boot on in the BIOS) and the optional items the scripts ask for at a prompt. Sheet 4 fills during Day 1.</t>
        </is>
      </c>
    </row>
    <row r="6">
      <c r="A6" s="4" t="inlineStr">
        <is>
          <t>2. Use the dropdown in each response column. Cells colour green, amber, or red as you answer.</t>
        </is>
      </c>
    </row>
    <row r="7">
      <c r="A7" s="4" t="inlineStr">
        <is>
          <t>3. Where you choose 'Change' or 'Disagree', write the alternative in the next column so it can be folded back into the brief.</t>
        </is>
      </c>
    </row>
    <row r="8">
      <c r="A8" s="4" t="inlineStr">
        <is>
          <t>4. Sheet 4 (Verification) is filled during Day 1 as each phase gate runs, not now; its Result column shows amber 'Not yet run' until then.</t>
        </is>
      </c>
    </row>
    <row r="9">
      <c r="A9" s="4" t="inlineStr">
        <is>
          <t>5. The Ref sheets carry the agreed maps (hardware, platform watch-list and memory budget, engines, cabinet, domains, task forces, integrations, voice, multimodal, governance, Day 1) for checking against.</t>
        </is>
      </c>
    </row>
    <row r="10">
      <c r="A10" s="4" t="inlineStr">
        <is>
          <t>6. Outstanding before Day 1: the blank sheet 5 rows (only the Secure Boot BIOS setting is required; the rest are optional and can be given at the prompt or left for the live ATLAS). To reopen any other item, change its response cell (Changed my mind, Disagree, Discuss or No) and write the reason beside it; the progress table below shows it at once.</t>
        </is>
      </c>
    </row>
    <row r="12">
      <c r="A12" s="3" t="inlineStr">
        <is>
          <t>Legend</t>
        </is>
      </c>
    </row>
    <row r="13">
      <c r="A13" s="5" t="inlineStr">
        <is>
          <t>Yellow fill</t>
        </is>
      </c>
      <c r="B13" s="6" t="inlineStr">
        <is>
          <t>Cell for you to fill in</t>
        </is>
      </c>
    </row>
    <row r="14">
      <c r="A14" s="7" t="inlineStr">
        <is>
          <t>Green</t>
        </is>
      </c>
      <c r="B14" s="6" t="inlineStr">
        <is>
          <t>Confirmed / Accept / Yes / N/A / Pass</t>
        </is>
      </c>
    </row>
    <row r="15">
      <c r="A15" s="8" t="inlineStr">
        <is>
          <t>Amber</t>
        </is>
      </c>
      <c r="B15" s="6" t="inlineStr">
        <is>
          <t>Deferred / Not yet run (Not yet run counts as Remaining, not Hold)</t>
        </is>
      </c>
    </row>
    <row r="16">
      <c r="A16" s="9" t="inlineStr">
        <is>
          <t>Red</t>
        </is>
      </c>
      <c r="B16" s="6" t="inlineStr">
        <is>
          <t>Changed my mind / Disagree - return to decisions / Discuss / No / Fail</t>
        </is>
      </c>
    </row>
    <row r="19">
      <c r="A19" s="3" t="inlineStr">
        <is>
          <t>Progress (formulas update as you answer)</t>
        </is>
      </c>
    </row>
    <row r="20">
      <c r="A20" s="10" t="inlineStr">
        <is>
          <t>Sheet</t>
        </is>
      </c>
      <c r="B20" s="10" t="inlineStr">
        <is>
          <t>Items</t>
        </is>
      </c>
      <c r="C20" s="10" t="inlineStr">
        <is>
          <t>Answered</t>
        </is>
      </c>
      <c r="D20" s="10" t="inlineStr">
        <is>
          <t>Positive</t>
        </is>
      </c>
      <c r="E20" s="10" t="inlineStr">
        <is>
          <t>Hold</t>
        </is>
      </c>
      <c r="F20" s="10" t="inlineStr">
        <is>
          <t>Negative</t>
        </is>
      </c>
      <c r="G20" s="10" t="inlineStr">
        <is>
          <t>Remaining</t>
        </is>
      </c>
    </row>
    <row r="21">
      <c r="A21" s="11" t="inlineStr">
        <is>
          <t>1 Decisions</t>
        </is>
      </c>
      <c r="B21" s="12">
        <f>COUNTA('1 Decisions'!$A$5:$A$19)</f>
        <v/>
      </c>
      <c r="C21" s="12">
        <f>B21-G21</f>
        <v/>
      </c>
      <c r="D21" s="12">
        <f>COUNTIF('1 Decisions'!$E$5:$E$19,"Confirmed")</f>
        <v/>
      </c>
      <c r="E21" s="12">
        <f>0</f>
        <v/>
      </c>
      <c r="F21" s="12">
        <f>COUNTIF('1 Decisions'!$E$5:$E$19,"Changed my mind")</f>
        <v/>
      </c>
      <c r="G21" s="12">
        <f>COUNTBLANK('1 Decisions'!$E$5:$E$19)</f>
        <v/>
      </c>
    </row>
    <row r="22">
      <c r="A22" s="11" t="inlineStr">
        <is>
          <t>2 Resolutions</t>
        </is>
      </c>
      <c r="B22" s="12">
        <f>COUNTA('2 Resolutions'!$A$5:$A$31)</f>
        <v/>
      </c>
      <c r="C22" s="12">
        <f>B22-G22</f>
        <v/>
      </c>
      <c r="D22" s="12">
        <f>COUNTIF('2 Resolutions'!$D$5:$D$31,"Accept")</f>
        <v/>
      </c>
      <c r="E22" s="12">
        <f>0</f>
        <v/>
      </c>
      <c r="F22" s="12">
        <f>COUNTIF('2 Resolutions'!$D$5:$D$31,"Disagree - return to decisions")</f>
        <v/>
      </c>
      <c r="G22" s="12">
        <f>COUNTBLANK('2 Resolutions'!$D$5:$D$31)</f>
        <v/>
      </c>
    </row>
    <row r="23">
      <c r="A23" s="11" t="inlineStr">
        <is>
          <t>3 Risks</t>
        </is>
      </c>
      <c r="B23" s="12">
        <f>COUNTA('3 Risks'!$A$5:$A$29)</f>
        <v/>
      </c>
      <c r="C23" s="12">
        <f>B23-G23</f>
        <v/>
      </c>
      <c r="D23" s="12">
        <f>COUNTIF('3 Risks'!$F$5:$F$29,"Yes")</f>
        <v/>
      </c>
      <c r="E23" s="12">
        <f>0</f>
        <v/>
      </c>
      <c r="F23" s="12">
        <f>COUNTIF('3 Risks'!$F$5:$F$29,"Discuss")</f>
        <v/>
      </c>
      <c r="G23" s="12">
        <f>COUNTBLANK('3 Risks'!$F$5:$F$29)</f>
        <v/>
      </c>
    </row>
    <row r="24">
      <c r="A24" s="11" t="inlineStr">
        <is>
          <t>4 Verification</t>
        </is>
      </c>
      <c r="B24" s="12">
        <f>COUNTA('4 Verification'!$A$5:$A$28)</f>
        <v/>
      </c>
      <c r="C24" s="12">
        <f>B24-G24</f>
        <v/>
      </c>
      <c r="D24" s="12">
        <f>COUNTIF('4 Verification'!$D$5:$D$28,"Pass")</f>
        <v/>
      </c>
      <c r="E24" s="12">
        <f>COUNTIF('4 Verification'!$D$5:$D$28,"Deferred")</f>
        <v/>
      </c>
      <c r="F24" s="12">
        <f>COUNTIF('4 Verification'!$D$5:$D$28,"Fail")</f>
        <v/>
      </c>
      <c r="G24" s="12">
        <f>COUNTBLANK('4 Verification'!$D$5:$D$28)+COUNTIF('4 Verification'!$D$5:$D$28,"Not yet run")</f>
        <v/>
      </c>
    </row>
    <row r="25">
      <c r="A25" s="11" t="inlineStr">
        <is>
          <t>5 Checklist</t>
        </is>
      </c>
      <c r="B25" s="12">
        <f>COUNTA('5 Checklist'!$A$5:$A$29)</f>
        <v/>
      </c>
      <c r="C25" s="12">
        <f>B25-G25</f>
        <v/>
      </c>
      <c r="D25" s="12">
        <f>COUNTIF('5 Checklist'!$D$5:$D$29,"Yes")+COUNTIF('5 Checklist'!$D$5:$D$29,"N/A")</f>
        <v/>
      </c>
      <c r="E25" s="12">
        <f>0</f>
        <v/>
      </c>
      <c r="F25" s="12">
        <f>COUNTIF('5 Checklist'!$D$5:$D$29,"No")</f>
        <v/>
      </c>
      <c r="G25" s="12">
        <f>COUNTBLANK('5 Checklist'!$D$5:$D$29)</f>
        <v/>
      </c>
    </row>
    <row r="26">
      <c r="A26" s="3" t="inlineStr">
        <is>
          <t>Total</t>
        </is>
      </c>
      <c r="B26" s="13">
        <f>SUM(B21:B25)</f>
        <v/>
      </c>
      <c r="C26" s="13">
        <f>SUM(C21:C25)</f>
        <v/>
      </c>
      <c r="D26" s="13">
        <f>SUM(D21:D25)</f>
        <v/>
      </c>
      <c r="E26" s="13">
        <f>SUM(E21:E25)</f>
        <v/>
      </c>
      <c r="F26" s="13">
        <f>SUM(F21:F25)</f>
        <v/>
      </c>
      <c r="G26" s="13">
        <f>SUM(G21:G25)</f>
        <v/>
      </c>
    </row>
    <row r="27">
      <c r="A27" s="2" t="inlineStr">
        <is>
          <t>Positive / Hold / Negative map to each sheet's dropdown: Decisions = Confirmed / - / Changed my mind; Resolutions = Accept / - / Disagree; Risks = Yes / - / Discuss; Verification = Pass / Deferred / Fail, with Not yet run counted as Remaining; Checklist = Yes or N/A / - / No.</t>
        </is>
      </c>
    </row>
    <row r="30">
      <c r="A30" s="3" t="inlineStr">
        <is>
          <t>Example of a completed decision row (format only, not editable, not counted; grey marks where your text would go)</t>
        </is>
      </c>
    </row>
    <row r="31">
      <c r="A31" s="10" t="inlineStr">
        <is>
          <t>ID</t>
        </is>
      </c>
      <c r="B31" s="10" t="inlineStr">
        <is>
          <t>Decision</t>
        </is>
      </c>
      <c r="C31" s="10" t="inlineStr">
        <is>
          <t>Recommendation</t>
        </is>
      </c>
      <c r="D31" s="10" t="inlineStr">
        <is>
          <t>Blocks</t>
        </is>
      </c>
      <c r="E31" s="10" t="inlineStr">
        <is>
          <t>Your response</t>
        </is>
      </c>
      <c r="F31" s="10" t="inlineStr">
        <is>
          <t>Your answer or alternative</t>
        </is>
      </c>
      <c r="G31" s="10" t="inlineStr">
        <is>
          <t>Notes</t>
        </is>
      </c>
    </row>
    <row r="32">
      <c r="A32" s="11" t="inlineStr">
        <is>
          <t>D0</t>
        </is>
      </c>
      <c r="B32" s="11" t="inlineStr">
        <is>
          <t>Example: which mail client the node uses</t>
        </is>
      </c>
      <c r="C32" s="11" t="inlineStr">
        <is>
          <t>Client A</t>
        </is>
      </c>
      <c r="D32" s="11" t="inlineStr">
        <is>
          <t>Phase 2</t>
        </is>
      </c>
      <c r="E32" s="14" t="inlineStr">
        <is>
          <t>Changed my mind</t>
        </is>
      </c>
      <c r="F32" s="15" t="inlineStr">
        <is>
          <t>Use client B, it already holds my accounts</t>
        </is>
      </c>
      <c r="G32" s="15" t="inlineStr">
        <is>
          <t>Discussed 2026-09-21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9"/>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7" customWidth="1" min="1" max="1"/>
    <col width="40" customWidth="1" min="2" max="2"/>
    <col width="52" customWidth="1" min="3" max="3"/>
    <col width="40" customWidth="1" min="4" max="4"/>
    <col width="16" customWidth="1" min="5" max="5"/>
    <col width="40" customWidth="1" min="6" max="6"/>
  </cols>
  <sheetData>
    <row r="1">
      <c r="A1" s="1" t="inlineStr">
        <is>
          <t>1 Decisions</t>
        </is>
      </c>
    </row>
    <row r="2">
      <c r="A2" s="2" t="inlineStr">
        <is>
          <t>Section 19. All fifteen are closed; D15 (Secure Boot and the TPM binding) was decided on 2026-10-05 as option (a), Secure Boot enabled in the BIOS.</t>
        </is>
      </c>
    </row>
    <row r="4">
      <c r="A4" s="10" t="inlineStr">
        <is>
          <t>ID</t>
        </is>
      </c>
      <c r="B4" s="10" t="inlineStr">
        <is>
          <t>Decision</t>
        </is>
      </c>
      <c r="C4" s="10" t="inlineStr">
        <is>
          <t>Your answer (as given)</t>
        </is>
      </c>
      <c r="D4" s="10" t="inlineStr">
        <is>
          <t>Note</t>
        </is>
      </c>
      <c r="E4" s="10" t="inlineStr">
        <is>
          <t>Still stands?</t>
        </is>
      </c>
      <c r="F4" s="10" t="inlineStr">
        <is>
          <t>If changed, what instead</t>
        </is>
      </c>
    </row>
    <row r="5">
      <c r="A5" s="12" t="inlineStr">
        <is>
          <t>D1</t>
        </is>
      </c>
      <c r="B5" s="11" t="inlineStr">
        <is>
          <t>Inference backend: llama-server or Ollama</t>
        </is>
      </c>
      <c r="C5" s="11" t="inlineStr">
        <is>
          <t>llama-server, Ollama not installed</t>
        </is>
      </c>
      <c r="D5" s="11" t="inlineStr">
        <is>
          <t>Accepted as recommended</t>
        </is>
      </c>
      <c r="E5" s="16" t="inlineStr">
        <is>
          <t>Confirmed</t>
        </is>
      </c>
      <c r="F5" s="17" t="n"/>
    </row>
    <row r="6">
      <c r="A6" s="12" t="inlineStr">
        <is>
          <t>D2</t>
        </is>
      </c>
      <c r="B6" s="11" t="inlineStr">
        <is>
          <t>Secure Boot: disable, or enrol keys</t>
        </is>
      </c>
      <c r="C6" s="11" t="inlineStr">
        <is>
          <t>Disabled on a headless node behind a firewall</t>
        </is>
      </c>
      <c r="D6" s="11" t="inlineStr">
        <is>
          <t>Accepted as recommended; superseded by D15 (enabled)</t>
        </is>
      </c>
      <c r="E6" s="16" t="inlineStr">
        <is>
          <t>Confirmed</t>
        </is>
      </c>
      <c r="F6" s="17" t="n"/>
    </row>
    <row r="7">
      <c r="A7" s="12" t="inlineStr">
        <is>
          <t>D3</t>
        </is>
      </c>
      <c r="B7" s="11" t="inlineStr">
        <is>
          <t>Where the LUKS recovery key and restic passphrase live</t>
        </is>
      </c>
      <c r="C7" s="11" t="inlineStr">
        <is>
          <t>On the node and on an external USB drive</t>
        </is>
      </c>
      <c r="D7" s="11" t="inlineStr">
        <is>
          <t>Changed by the Principal. See R16: the USB copy is the one that survives node loss, so it must be stored away from the node</t>
        </is>
      </c>
      <c r="E7" s="16" t="inlineStr">
        <is>
          <t>Confirmed</t>
        </is>
      </c>
      <c r="F7" s="17" t="n"/>
    </row>
    <row r="8">
      <c r="A8" s="12" t="inlineStr">
        <is>
          <t>D4</t>
        </is>
      </c>
      <c r="B8" s="11" t="inlineStr">
        <is>
          <t>Router model and embedding model</t>
        </is>
      </c>
      <c r="C8" s="11" t="inlineStr">
        <is>
          <t>Qwen3.5 4B-class instruct, bge-m3, bge-reranker-v2-m3</t>
        </is>
      </c>
      <c r="D8" s="11" t="inlineStr">
        <is>
          <t>Accepted as recommended</t>
        </is>
      </c>
      <c r="E8" s="16" t="inlineStr">
        <is>
          <t>Confirmed</t>
        </is>
      </c>
      <c r="F8" s="17" t="n"/>
    </row>
    <row r="9">
      <c r="A9" s="12" t="inlineStr">
        <is>
          <t>D5</t>
        </is>
      </c>
      <c r="B9" s="11" t="inlineStr">
        <is>
          <t>Whether the reserve domains are adopted</t>
        </is>
      </c>
      <c r="C9" s="11" t="inlineStr">
        <is>
          <t>Adopted now, with nine further areas supplied. Six new domains, five subspecialty folds</t>
        </is>
      </c>
      <c r="D9" s="11" t="inlineStr">
        <is>
          <t>Changed by the Principal (8.2, C24)</t>
        </is>
      </c>
      <c r="E9" s="16" t="inlineStr">
        <is>
          <t>Confirmed</t>
        </is>
      </c>
      <c r="F9" s="17" t="n"/>
    </row>
    <row r="10">
      <c r="A10" s="12" t="inlineStr">
        <is>
          <t>D6</t>
        </is>
      </c>
      <c r="B10" s="11" t="inlineStr">
        <is>
          <t>Sentinel feed list</t>
        </is>
      </c>
      <c r="C10" s="11" t="inlineStr">
        <is>
          <t>CoinDesk, ASX and US index feed, RSS news, node telemetry</t>
        </is>
      </c>
      <c r="D10" s="11" t="inlineStr">
        <is>
          <t>Accepted as recommended</t>
        </is>
      </c>
      <c r="E10" s="16" t="inlineStr">
        <is>
          <t>Confirmed</t>
        </is>
      </c>
      <c r="F10" s="17" t="n"/>
    </row>
    <row r="11">
      <c r="A11" s="12" t="inlineStr">
        <is>
          <t>D7</t>
        </is>
      </c>
      <c r="B11" s="11" t="inlineStr">
        <is>
          <t>Graph layer: GraphRAG or LightRAG</t>
        </is>
      </c>
      <c r="C11" s="11" t="inlineStr">
        <is>
          <t>LightRAG</t>
        </is>
      </c>
      <c r="D11" s="11" t="inlineStr">
        <is>
          <t>Accepted as recommended</t>
        </is>
      </c>
      <c r="E11" s="16" t="inlineStr">
        <is>
          <t>Confirmed</t>
        </is>
      </c>
      <c r="F11" s="17" t="n"/>
    </row>
    <row r="12">
      <c r="A12" s="12" t="inlineStr">
        <is>
          <t>D8</t>
        </is>
      </c>
      <c r="B12" s="11" t="inlineStr">
        <is>
          <t>The never-without-the-Principal list</t>
        </is>
      </c>
      <c r="C12" s="11" t="inlineStr">
        <is>
          <t>The ten items in 16.3 are binding</t>
        </is>
      </c>
      <c r="D12" s="11" t="inlineStr">
        <is>
          <t>Accepted as recommended</t>
        </is>
      </c>
      <c r="E12" s="16" t="inlineStr">
        <is>
          <t>Confirmed</t>
        </is>
      </c>
      <c r="F12" s="17" t="n"/>
    </row>
    <row r="13">
      <c r="A13" s="12" t="inlineStr">
        <is>
          <t>D9</t>
        </is>
      </c>
      <c r="B13" s="11" t="inlineStr">
        <is>
          <t>Retention rule for chats, logs, backups</t>
        </is>
      </c>
      <c r="C13" s="11" t="inlineStr">
        <is>
          <t>Defaults in 10.4 and 9.5 are binding</t>
        </is>
      </c>
      <c r="D13" s="11" t="inlineStr">
        <is>
          <t>Accepted as recommended</t>
        </is>
      </c>
      <c r="E13" s="16" t="inlineStr">
        <is>
          <t>Confirmed</t>
        </is>
      </c>
      <c r="F13" s="17" t="n"/>
    </row>
    <row r="14">
      <c r="A14" s="12" t="inlineStr">
        <is>
          <t>D10</t>
        </is>
      </c>
      <c r="B14" s="11" t="inlineStr">
        <is>
          <t>Primary vision engine</t>
        </is>
      </c>
      <c r="C14" s="11" t="inlineStr">
        <is>
          <t>Qwen2.5-VL-72B at Q8_0, sole vision engine. GLM-4.6V-Flash and the 7B and 32B variants dropped</t>
        </is>
      </c>
      <c r="D14" s="11" t="inlineStr">
        <is>
          <t>Changed by the Principal: maximum quality, slow speed accepted (15.2, C25)</t>
        </is>
      </c>
      <c r="E14" s="16" t="inlineStr">
        <is>
          <t>Confirmed</t>
        </is>
      </c>
      <c r="F14" s="17" t="n"/>
    </row>
    <row r="15">
      <c r="A15" s="12" t="inlineStr">
        <is>
          <t>D11</t>
        </is>
      </c>
      <c r="B15" s="11" t="inlineStr">
        <is>
          <t>Apple .ipa build path</t>
        </is>
      </c>
      <c r="C15" s="11" t="inlineStr">
        <is>
          <t>Removed from the design. No Mac, no cloud runner, no macOS virtualisation. iOS source is still written, compiled elsewhere if Mac access ever exists</t>
        </is>
      </c>
      <c r="D15" s="11" t="inlineStr">
        <is>
          <t>Changed by the Principal</t>
        </is>
      </c>
      <c r="E15" s="16" t="inlineStr">
        <is>
          <t>Confirmed</t>
        </is>
      </c>
      <c r="F15" s="17" t="n"/>
    </row>
    <row r="16">
      <c r="A16" s="12" t="inlineStr">
        <is>
          <t>D12</t>
        </is>
      </c>
      <c r="B16" s="11" t="inlineStr">
        <is>
          <t>Meditron-70B: include or skip</t>
        </is>
      </c>
      <c r="C16" s="11" t="inlineStr">
        <is>
          <t>Included in Phase 3 at Q8_0</t>
        </is>
      </c>
      <c r="D16" s="11" t="inlineStr">
        <is>
          <t>Accepted, with "include now" noted</t>
        </is>
      </c>
      <c r="E16" s="16" t="inlineStr">
        <is>
          <t>Confirmed</t>
        </is>
      </c>
      <c r="F16" s="17" t="n"/>
    </row>
    <row r="17">
      <c r="A17" s="12" t="inlineStr">
        <is>
          <t>D13</t>
        </is>
      </c>
      <c r="B17" s="11" t="inlineStr">
        <is>
          <t>Vault idle auto-lock period</t>
        </is>
      </c>
      <c r="C17" s="11" t="inlineStr">
        <is>
          <t>15 minutes</t>
        </is>
      </c>
      <c r="D17" s="11" t="inlineStr">
        <is>
          <t>Accepted as recommended</t>
        </is>
      </c>
      <c r="E17" s="16" t="inlineStr">
        <is>
          <t>Confirmed</t>
        </is>
      </c>
      <c r="F17" s="17" t="n"/>
    </row>
    <row r="18">
      <c r="A18" s="12" t="inlineStr">
        <is>
          <t>D14</t>
        </is>
      </c>
      <c r="B18" s="11" t="inlineStr">
        <is>
          <t>Director mailboxes or aliases</t>
        </is>
      </c>
      <c r="C18" s="11" t="inlineStr">
        <is>
          <t>Aliases auto-generated from each director's name on the Workspace domain, firstname.lastname pattern</t>
        </is>
      </c>
      <c r="D18" s="11" t="inlineStr">
        <is>
          <t>Accepted, with automatic generation requested</t>
        </is>
      </c>
      <c r="E18" s="16" t="inlineStr">
        <is>
          <t>Confirmed</t>
        </is>
      </c>
      <c r="F18" s="17" t="n"/>
    </row>
    <row r="19">
      <c r="A19" s="12" t="inlineStr">
        <is>
          <t>D15</t>
        </is>
      </c>
      <c r="B19" s="11" t="inlineStr">
        <is>
          <t>Secure Boot and the TPM binding (reopens D2)</t>
        </is>
      </c>
      <c r="C19" s="11" t="inlineStr">
        <is>
          <t>CLOSED 2026-10-05: option (a), Secure Boot enabled. With Secure Boot off, PCR 7 is the same for any boot medium, so the data volume would unseal for any OS booted on this hardware. Enabling Secure Boot reverses D2 at no cost: this stack has no out-of-tree kernel modules (amdgpu and WireGuard are in-tree, Docker needs none). The Principal enables it in the BIOS; it is a precondition in Section 22. Until it is on, pre-flight warns, every V2 row notes the state and the to-do secure-boot stays open (no acknowledgement key exists any more; options (b) and (c) are withdrawn)</t>
        </is>
      </c>
      <c r="D19" s="11" t="inlineStr">
        <is>
          <t>Decided by the Principal: (a). R23 mitigated once the BIOS setting is made</t>
        </is>
      </c>
      <c r="E19" s="16" t="inlineStr">
        <is>
          <t>Confirmed</t>
        </is>
      </c>
      <c r="F19" s="17" t="n"/>
    </row>
  </sheetData>
  <autoFilter ref="A4:F19"/>
  <conditionalFormatting sqref="E5:E19">
    <cfRule type="cellIs" priority="1" operator="equal" dxfId="0">
      <formula>"Confirmed"</formula>
    </cfRule>
    <cfRule type="cellIs" priority="2" operator="equal" dxfId="1">
      <formula>"Changed my mind"</formula>
    </cfRule>
  </conditionalFormatting>
  <dataValidations count="1">
    <dataValidation sqref="E5:E19" showDropDown="0" showInputMessage="0" showErrorMessage="1" allowBlank="1" errorTitle="Invalid entry" error="Pick a value from the list." promptTitle="Choose" prompt="Pick one: Confirmed / Changed my mind" type="list" errorStyle="stop">
      <formula1>"Confirmed,Changed my mind"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31"/>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7" customWidth="1" min="1" max="1"/>
    <col width="52" customWidth="1" min="2" max="2"/>
    <col width="52" customWidth="1" min="3" max="3"/>
    <col width="22" customWidth="1" min="4" max="4"/>
    <col width="34" customWidth="1" min="5" max="5"/>
  </cols>
  <sheetData>
    <row r="1">
      <c r="A1" s="1" t="inlineStr">
        <is>
          <t>2 Resolutions</t>
        </is>
      </c>
    </row>
    <row r="2">
      <c r="A2" s="2" t="inlineStr">
        <is>
          <t>Section 18. C1 to C26 accepted in the workbook returned 2026-09-21; C27 (Ubuntu Server kept over Fedora 44 KDE Plasma) decided by the Principal on 2026-10-08. Closed record; change a cell only to reopen one.</t>
        </is>
      </c>
    </row>
    <row r="4">
      <c r="A4" s="10" t="inlineStr">
        <is>
          <t>ID</t>
        </is>
      </c>
      <c r="B4" s="10" t="inlineStr">
        <is>
          <t>Contradiction or ambiguity found</t>
        </is>
      </c>
      <c r="C4" s="10" t="inlineStr">
        <is>
          <t>Resolution adopted</t>
        </is>
      </c>
      <c r="D4" s="10" t="inlineStr">
        <is>
          <t>Your response</t>
        </is>
      </c>
      <c r="E4" s="10" t="inlineStr">
        <is>
          <t>Notes</t>
        </is>
      </c>
    </row>
    <row r="5">
      <c r="A5" s="12" t="inlineStr">
        <is>
          <t>C1</t>
        </is>
      </c>
      <c r="B5" s="11" t="inlineStr">
        <is>
          <t>Backend named as llama.cpp, then Ollama, then llama-server at different points</t>
        </is>
      </c>
      <c r="C5" s="11" t="inlineStr">
        <is>
          <t>llama-server primary on Vulkan; Ollama optional. D1 confirms</t>
        </is>
      </c>
      <c r="D5" s="16" t="inlineStr">
        <is>
          <t>Accept</t>
        </is>
      </c>
      <c r="E5" s="17" t="n"/>
    </row>
    <row r="6">
      <c r="A6" s="12" t="inlineStr">
        <is>
          <t>C2</t>
        </is>
      </c>
      <c r="B6" s="11" t="inlineStr">
        <is>
          <t>Ubuntu 26.04 chosen, but Phase 4 needs ROCm PyTorch, which does not install cleanly on the 26.04 host</t>
        </is>
      </c>
      <c r="C6" s="11" t="inlineStr">
        <is>
          <t>ROCm lives inside containers; host runs Vulkan only (3.4)</t>
        </is>
      </c>
      <c r="D6" s="16" t="inlineStr">
        <is>
          <t>Accept</t>
        </is>
      </c>
      <c r="E6" s="17" t="n"/>
    </row>
    <row r="7">
      <c r="A7" s="12" t="inlineStr">
        <is>
          <t>C3</t>
        </is>
      </c>
      <c r="B7" s="11" t="inlineStr">
        <is>
          <t>Windows 96 GB and Linux ~120 GB budgets both appeared</t>
        </is>
      </c>
      <c r="C7" s="11" t="inlineStr">
        <is>
          <t>Linux numbers are binding (4.1)</t>
        </is>
      </c>
      <c r="D7" s="16" t="inlineStr">
        <is>
          <t>Accept</t>
        </is>
      </c>
      <c r="E7" s="17" t="n"/>
    </row>
    <row r="8">
      <c r="A8" s="12" t="inlineStr">
        <is>
          <t>C4</t>
        </is>
      </c>
      <c r="B8" s="11" t="inlineStr">
        <is>
          <t>KV-cache proposal mixed shipped features with unmerged research</t>
        </is>
      </c>
      <c r="C8" s="11" t="inlineStr">
        <is>
          <t>Only shipped features adopted (4.3)</t>
        </is>
      </c>
      <c r="D8" s="16" t="inlineStr">
        <is>
          <t>Accept</t>
        </is>
      </c>
      <c r="E8" s="17" t="n"/>
    </row>
    <row r="9">
      <c r="A9" s="12" t="inlineStr">
        <is>
          <t>C5</t>
        </is>
      </c>
      <c r="B9" s="11" t="inlineStr">
        <is>
          <t>Meditron listed among PyTorch engines</t>
        </is>
      </c>
      <c r="C9" s="11" t="inlineStr">
        <is>
          <t>Runs through llama.cpp (5.1)</t>
        </is>
      </c>
      <c r="D9" s="16" t="inlineStr">
        <is>
          <t>Accept</t>
        </is>
      </c>
      <c r="E9" s="17" t="n"/>
    </row>
    <row r="10">
      <c r="A10" s="12" t="inlineStr">
        <is>
          <t>C6</t>
        </is>
      </c>
      <c r="B10" s="11" t="inlineStr">
        <is>
          <t>Arthur's override bound to the abliterated engine "for legal dissection"</t>
        </is>
      </c>
      <c r="C10" s="11" t="inlineStr">
        <is>
          <t>Override is Qwen3.5 (6.1)</t>
        </is>
      </c>
      <c r="D10" s="16" t="inlineStr">
        <is>
          <t>Accept</t>
        </is>
      </c>
      <c r="E10" s="17" t="n"/>
    </row>
    <row r="11">
      <c r="A11" s="12" t="inlineStr">
        <is>
          <t>C7</t>
        </is>
      </c>
      <c r="B11" s="11" t="inlineStr">
        <is>
          <t>Gideon and Minerva bound to the abliterated engine "for zero-hallucination"</t>
        </is>
      </c>
      <c r="C11" s="11" t="inlineStr">
        <is>
          <t>Standard engine, retrieval-grounded (6.2)</t>
        </is>
      </c>
      <c r="D11" s="16" t="inlineStr">
        <is>
          <t>Accept</t>
        </is>
      </c>
      <c r="E11" s="17" t="n"/>
    </row>
    <row r="12">
      <c r="A12" s="12" t="inlineStr">
        <is>
          <t>C8</t>
        </is>
      </c>
      <c r="B12" s="11" t="inlineStr">
        <is>
          <t>Router described as an Open WebUI pipeline</t>
        </is>
      </c>
      <c r="C12" s="11" t="inlineStr">
        <is>
          <t>Lives in the orchestrator; Filter is a relay (7.1)</t>
        </is>
      </c>
      <c r="D12" s="16" t="inlineStr">
        <is>
          <t>Accept</t>
        </is>
      </c>
      <c r="E12" s="17" t="n"/>
    </row>
    <row r="13">
      <c r="A13" s="12" t="inlineStr">
        <is>
          <t>C9</t>
        </is>
      </c>
      <c r="B13" s="11" t="inlineStr">
        <is>
          <t>Domain 27 phrased as "memetic warfare" and "sentiment manipulation"</t>
        </is>
      </c>
      <c r="C13" s="11" t="inlineStr">
        <is>
          <t>Retained under Helena with phrasing softened to legitimate growth and attribution work</t>
        </is>
      </c>
      <c r="D13" s="16" t="inlineStr">
        <is>
          <t>Accept</t>
        </is>
      </c>
      <c r="E13" s="17" t="n"/>
    </row>
    <row r="14">
      <c r="A14" s="12" t="inlineStr">
        <is>
          <t>C10</t>
        </is>
      </c>
      <c r="B14" s="11" t="inlineStr">
        <is>
          <t>Domain profiles' "Stateless MRTR, dispatch and decouple" removes the approval gate</t>
        </is>
      </c>
      <c r="C14" s="11" t="inlineStr">
        <is>
          <t>Isolated-context dispatch with tracked completion (8.6)</t>
        </is>
      </c>
      <c r="D14" s="16" t="inlineStr">
        <is>
          <t>Accept</t>
        </is>
      </c>
      <c r="E14" s="17" t="n"/>
    </row>
    <row r="15">
      <c r="A15" s="12" t="inlineStr">
        <is>
          <t>C11</t>
        </is>
      </c>
      <c r="B15" s="11" t="inlineStr">
        <is>
          <t>Sentinel described as a WSL2 cron job</t>
        </is>
      </c>
      <c r="C15" s="11" t="inlineStr">
        <is>
          <t>systemd timer; there is no WSL (9.3)</t>
        </is>
      </c>
      <c r="D15" s="16" t="inlineStr">
        <is>
          <t>Accept</t>
        </is>
      </c>
      <c r="E15" s="17" t="n"/>
    </row>
    <row r="16">
      <c r="A16" s="12" t="inlineStr">
        <is>
          <t>C12</t>
        </is>
      </c>
      <c r="B16" s="11" t="inlineStr">
        <is>
          <t>Sentinel fed to Ren</t>
        </is>
      </c>
      <c r="C16" s="11" t="inlineStr">
        <is>
          <t>Alaric and Silas under Arthur (9.3)</t>
        </is>
      </c>
      <c r="D16" s="16" t="inlineStr">
        <is>
          <t>Accept</t>
        </is>
      </c>
      <c r="E16" s="17" t="n"/>
    </row>
    <row r="17">
      <c r="A17" s="12" t="inlineStr">
        <is>
          <t>C13</t>
        </is>
      </c>
      <c r="B17" s="11" t="inlineStr">
        <is>
          <t>AEGIS described as a single zip</t>
        </is>
      </c>
      <c r="C17" s="11" t="inlineStr">
        <is>
          <t>restic (9.5)</t>
        </is>
      </c>
      <c r="D17" s="16" t="inlineStr">
        <is>
          <t>Accept</t>
        </is>
      </c>
      <c r="E17" s="17" t="n"/>
    </row>
    <row r="18">
      <c r="A18" s="12" t="inlineStr">
        <is>
          <t>C14</t>
        </is>
      </c>
      <c r="B18" s="11" t="inlineStr">
        <is>
          <t>AEGIS destination on the same drive</t>
        </is>
      </c>
      <c r="C18" s="11" t="inlineStr">
        <is>
          <t>Second drive plus optional external (9.5)</t>
        </is>
      </c>
      <c r="D18" s="16" t="inlineStr">
        <is>
          <t>Accept</t>
        </is>
      </c>
      <c r="E18" s="17" t="n"/>
    </row>
    <row r="19">
      <c r="A19" s="12" t="inlineStr">
        <is>
          <t>C15</t>
        </is>
      </c>
      <c r="B19" s="11" t="inlineStr">
        <is>
          <t>Celery framed as freeing "a background hardware thread" for a backtest that may call an LLM</t>
        </is>
      </c>
      <c r="C19" s="11" t="inlineStr">
        <is>
          <t>CPU work decouples; GPU calls still serialise (9.7)</t>
        </is>
      </c>
      <c r="D19" s="16" t="inlineStr">
        <is>
          <t>Accept</t>
        </is>
      </c>
      <c r="E19" s="17" t="n"/>
    </row>
    <row r="20">
      <c r="A20" s="12" t="inlineStr">
        <is>
          <t>C16</t>
        </is>
      </c>
      <c r="B20" s="11" t="inlineStr">
        <is>
          <t>Estate memory inside the vault versus the vault as on-demand top-secret storage</t>
        </is>
      </c>
      <c r="C20" s="11" t="inlineStr">
        <is>
          <t>Estate memory on the LUKS volume; vault content never persisted (10.5)</t>
        </is>
      </c>
      <c r="D20" s="16" t="inlineStr">
        <is>
          <t>Accept</t>
        </is>
      </c>
      <c r="E20" s="17" t="n"/>
    </row>
    <row r="21">
      <c r="A21" s="12" t="inlineStr">
        <is>
          <t>C17</t>
        </is>
      </c>
      <c r="B21" s="11" t="inlineStr">
        <is>
          <t>Four engine names that do not exist</t>
        </is>
      </c>
      <c r="C21" s="11" t="inlineStr">
        <is>
          <t>Real replacements (15.3)</t>
        </is>
      </c>
      <c r="D21" s="16" t="inlineStr">
        <is>
          <t>Accept</t>
        </is>
      </c>
      <c r="E21" s="17" t="n"/>
    </row>
    <row r="22">
      <c r="A22" s="12" t="inlineStr">
        <is>
          <t>C18</t>
        </is>
      </c>
      <c r="B22" s="11" t="inlineStr">
        <is>
          <t>"Vector Cortex replaces chat logs" versus Open WebUI's own database</t>
        </is>
      </c>
      <c r="C22" s="11" t="inlineStr">
        <is>
          <t>Supplements; retention rule under D9 (10.4)</t>
        </is>
      </c>
      <c r="D22" s="16" t="inlineStr">
        <is>
          <t>Accept</t>
        </is>
      </c>
      <c r="E22" s="17" t="n"/>
    </row>
    <row r="23">
      <c r="A23" s="12" t="inlineStr">
        <is>
          <t>C19</t>
        </is>
      </c>
      <c r="B23" s="11" t="inlineStr">
        <is>
          <t>Desktop recommended for a Linux novice, then Server chosen, then the Principal required a graphics interface</t>
        </is>
      </c>
      <c r="C23" s="11" t="inlineStr">
        <is>
          <t>Reopened and re-decided: Server 26.04.1 plus XFCE and xrdp, not the full Desktop image; Cockpit retained (3.1)</t>
        </is>
      </c>
      <c r="D23" s="16" t="inlineStr">
        <is>
          <t>Accept</t>
        </is>
      </c>
      <c r="E23" s="17" t="n"/>
    </row>
    <row r="24">
      <c r="A24" s="12" t="inlineStr">
        <is>
          <t>C20</t>
        </is>
      </c>
      <c r="B24" s="11" t="inlineStr">
        <is>
          <t>Fish Audio requested, then excluded as non-local and research-licensed</t>
        </is>
      </c>
      <c r="C24" s="11" t="inlineStr">
        <is>
          <t>Kokoro plus Chatterbox (14.1)</t>
        </is>
      </c>
      <c r="D24" s="16" t="inlineStr">
        <is>
          <t>Accept</t>
        </is>
      </c>
      <c r="E24" s="17" t="n"/>
    </row>
    <row r="25">
      <c r="A25" s="12" t="inlineStr">
        <is>
          <t>C21</t>
        </is>
      </c>
      <c r="B25" s="11" t="inlineStr">
        <is>
          <t>Ubuntu 24.04.5 versus 26.04.1 left open</t>
        </is>
      </c>
      <c r="C25" s="11" t="inlineStr">
        <is>
          <t>26.04.1. 24.04.5 brings the 7.0 kernel through HWE but stays on Mesa 25.2.8, so hardware support is close, not identical; 26.04.1 wins on support life (May 2031 against May 2029), graphics stack and toolchain (3.1; corrected in v0.3.4, S37)</t>
        </is>
      </c>
      <c r="D25" s="16" t="inlineStr">
        <is>
          <t>Accept</t>
        </is>
      </c>
      <c r="E25" s="17" t="n"/>
    </row>
    <row r="26">
      <c r="A26" s="12" t="inlineStr">
        <is>
          <t>C22</t>
        </is>
      </c>
      <c r="B26" s="11" t="inlineStr">
        <is>
          <t>Whether to adopt the amd64v3 or amd64v4 optimised archives</t>
        </is>
      </c>
      <c r="C26" s="11" t="inlineStr">
        <is>
          <t>Neither. The gain is on CPU-bound distribution packages, not GPU inference (3.1)</t>
        </is>
      </c>
      <c r="D26" s="16" t="inlineStr">
        <is>
          <t>Accept</t>
        </is>
      </c>
      <c r="E26" s="17" t="n"/>
    </row>
    <row r="27">
      <c r="A27" s="12" t="inlineStr">
        <is>
          <t>C23</t>
        </is>
      </c>
      <c r="B27" s="11" t="inlineStr">
        <is>
          <t>Everything quantised to 4-bit under a 128 GB constraint that no longer exists</t>
        </is>
      </c>
      <c r="C27" s="11" t="inlineStr">
        <is>
          <t>Q8_0 for Nemotron, Qwen3.5, Qwen2.5-VL-72B and Meditron; MXFP4 retained for gpt-oss as its native form; Q4_K_XL for the Apex engine (5.1)</t>
        </is>
      </c>
      <c r="D27" s="16" t="inlineStr">
        <is>
          <t>Accept</t>
        </is>
      </c>
      <c r="E27" s="17" t="n"/>
    </row>
    <row r="28">
      <c r="A28" s="12" t="inlineStr">
        <is>
          <t>C24</t>
        </is>
      </c>
      <c r="B28" s="11" t="inlineStr">
        <is>
          <t>Two domains held in reserve pending a stated need (old D5)</t>
        </is>
      </c>
      <c r="C28" s="11" t="inlineStr">
        <is>
          <t>Reserve closed. Six new domains, five subspecialty folds (8.2)</t>
        </is>
      </c>
      <c r="D28" s="16" t="inlineStr">
        <is>
          <t>Accept</t>
        </is>
      </c>
      <c r="E28" s="17" t="n"/>
    </row>
    <row r="29">
      <c r="A29" s="12" t="inlineStr">
        <is>
          <t>C25</t>
        </is>
      </c>
      <c r="B29" s="11" t="inlineStr">
        <is>
          <t>Vision split across GLM-4.6V-Flash, Qwen2.5-VL-7B and a 32B that v0.1 wrongly said did not exist</t>
        </is>
      </c>
      <c r="C29" s="11" t="inlineStr">
        <is>
          <t>One engine: Qwen2.5-VL-72B at Q8_0. The 32B is real and official, but the Principal chose maximum quality (15.2)</t>
        </is>
      </c>
      <c r="D29" s="16" t="inlineStr">
        <is>
          <t>Accept</t>
        </is>
      </c>
      <c r="E29" s="17" t="n"/>
    </row>
    <row r="30">
      <c r="A30" s="12" t="inlineStr">
        <is>
          <t>C26</t>
        </is>
      </c>
      <c r="B30" s="11" t="inlineStr">
        <is>
          <t>"Two engines at once" ambiguous between residency and generation</t>
        </is>
      </c>
      <c r="C30" s="11" t="inlineStr">
        <is>
          <t>Two may be resident; exactly one generates, everywhere, including Celery jobs (4.2)</t>
        </is>
      </c>
      <c r="D30" s="16" t="inlineStr">
        <is>
          <t>Accept</t>
        </is>
      </c>
      <c r="E30" s="17" t="n"/>
    </row>
    <row r="31">
      <c r="A31" s="12" t="inlineStr">
        <is>
          <t>C27</t>
        </is>
      </c>
      <c r="B31" s="11" t="inlineStr">
        <is>
          <t>Ubuntu Server 26.04.1 versus Fedora 44 KDE Plasma, raised by the Principal on 2026-10-07</t>
        </is>
      </c>
      <c r="C31" s="11" t="inlineStr">
        <is>
          <t>Ubuntu Server 26.04.1, re-confirmed 2026-10-08: five years without a major upgrade, a fixed kernel series, a dependable Remote Desktop login without autologin, AMD's vendor support for the chip, and no rewrite of the reviewed scripts (3.1). New in v0.3.4</t>
        </is>
      </c>
      <c r="D31" s="16" t="inlineStr">
        <is>
          <t>Accept</t>
        </is>
      </c>
      <c r="E31" s="17" t="n"/>
    </row>
  </sheetData>
  <autoFilter ref="A4:E31"/>
  <conditionalFormatting sqref="D5:D31">
    <cfRule type="cellIs" priority="1" operator="equal" dxfId="0">
      <formula>"Accept"</formula>
    </cfRule>
    <cfRule type="cellIs" priority="2" operator="equal" dxfId="1">
      <formula>"Disagree - return to decisions"</formula>
    </cfRule>
  </conditionalFormatting>
  <dataValidations count="1">
    <dataValidation sqref="D5:D31" showDropDown="0" showInputMessage="0" showErrorMessage="1" allowBlank="1" errorTitle="Invalid entry" error="Pick a value from the list." promptTitle="Choose" prompt="Pick one: Accept / Disagree - return to decisions" type="list" errorStyle="stop">
      <formula1>"Accept,Disagree - return to decisions"</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9"/>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7" customWidth="1" min="1" max="1"/>
    <col width="44" customWidth="1" min="2" max="2"/>
    <col width="18" customWidth="1" min="3" max="3"/>
    <col width="22" customWidth="1" min="4" max="4"/>
    <col width="52" customWidth="1" min="5" max="5"/>
    <col width="18" customWidth="1" min="6" max="6"/>
    <col width="28" customWidth="1" min="7" max="7"/>
  </cols>
  <sheetData>
    <row r="1">
      <c r="A1" s="1" t="inlineStr">
        <is>
          <t>3 Risks</t>
        </is>
      </c>
    </row>
    <row r="2">
      <c r="A2" s="2" t="inlineStr">
        <is>
          <t>Section 20. R1 to R21 acknowledged in the workbook returned 2026-09-21; R22 and R23 (v0.3.2) and R24 and R25 (v0.3.4: the xrdp exposure and the unattended-reboot gap) acknowledged by the Principal on 2026-10-08. R23 is mitigated by D15 (Secure Boot enabled) once the BIOS setting is made.</t>
        </is>
      </c>
    </row>
    <row r="4">
      <c r="A4" s="10" t="inlineStr">
        <is>
          <t>ID</t>
        </is>
      </c>
      <c r="B4" s="10" t="inlineStr">
        <is>
          <t>Risk</t>
        </is>
      </c>
      <c r="C4" s="10" t="inlineStr">
        <is>
          <t>Likelihood</t>
        </is>
      </c>
      <c r="D4" s="10" t="inlineStr">
        <is>
          <t>Impact</t>
        </is>
      </c>
      <c r="E4" s="10" t="inlineStr">
        <is>
          <t>Mitigation</t>
        </is>
      </c>
      <c r="F4" s="10" t="inlineStr">
        <is>
          <t>Acknowledged</t>
        </is>
      </c>
      <c r="G4" s="10" t="inlineStr">
        <is>
          <t>Notes</t>
        </is>
      </c>
    </row>
    <row r="5">
      <c r="A5" s="12" t="inlineStr">
        <is>
          <t>R1</t>
        </is>
      </c>
      <c r="B5" s="11" t="inlineStr">
        <is>
          <t>PyTorch has no official gfx1151 wheel, the community wheel may break on update</t>
        </is>
      </c>
      <c r="C5" s="11" t="inlineStr">
        <is>
          <t>High</t>
        </is>
      </c>
      <c r="D5" s="11" t="inlineStr">
        <is>
          <t>High for Phase 4, none for the LLM layer</t>
        </is>
      </c>
      <c r="E5" s="11" t="inlineStr">
        <is>
          <t>Pin versions, per-engine pass/fail, containerised so the host is untouched</t>
        </is>
      </c>
      <c r="F5" s="16" t="inlineStr">
        <is>
          <t>Yes</t>
        </is>
      </c>
      <c r="G5" s="17" t="n"/>
    </row>
    <row r="6">
      <c r="A6" s="12" t="inlineStr">
        <is>
          <t>R2</t>
        </is>
      </c>
      <c r="B6" s="11" t="inlineStr">
        <is>
          <t>Ollama's Vulkan path immature on 26.04</t>
        </is>
      </c>
      <c r="C6" s="11" t="inlineStr">
        <is>
          <t>Medium</t>
        </is>
      </c>
      <c r="D6" s="11" t="inlineStr">
        <is>
          <t>High if chosen</t>
        </is>
      </c>
      <c r="E6" s="11" t="inlineStr">
        <is>
          <t>D1: llama-server primary</t>
        </is>
      </c>
      <c r="F6" s="16" t="inlineStr">
        <is>
          <t>Yes</t>
        </is>
      </c>
      <c r="G6" s="17" t="n"/>
    </row>
    <row r="7">
      <c r="A7" s="12" t="inlineStr">
        <is>
          <t>R3</t>
        </is>
      </c>
      <c r="B7" s="11" t="inlineStr">
        <is>
          <t>ROCm 7.2.x does not install on the 26.04 host kernel</t>
        </is>
      </c>
      <c r="C7" s="11" t="inlineStr">
        <is>
          <t>Certain</t>
        </is>
      </c>
      <c r="D7" s="11" t="inlineStr">
        <is>
          <t>Medium</t>
        </is>
      </c>
      <c r="E7" s="11" t="inlineStr">
        <is>
          <t>Never install ROCm on the host, containers only (3.4)</t>
        </is>
      </c>
      <c r="F7" s="16" t="inlineStr">
        <is>
          <t>Yes</t>
        </is>
      </c>
      <c r="G7" s="17" t="n"/>
    </row>
    <row r="8">
      <c r="A8" s="12" t="inlineStr">
        <is>
          <t>R4</t>
        </is>
      </c>
      <c r="B8" s="11" t="inlineStr">
        <is>
          <t>KV quantisation silently falls back to full precision on an unsupported architecture</t>
        </is>
      </c>
      <c r="C8" s="11" t="inlineStr">
        <is>
          <t>Medium</t>
        </is>
      </c>
      <c r="D8" s="11" t="inlineStr">
        <is>
          <t>High, unexpected OOM</t>
        </is>
      </c>
      <c r="E8" s="11" t="inlineStr">
        <is>
          <t>V4 per-model check</t>
        </is>
      </c>
      <c r="F8" s="16" t="inlineStr">
        <is>
          <t>Yes</t>
        </is>
      </c>
      <c r="G8" s="17" t="n"/>
    </row>
    <row r="9">
      <c r="A9" s="12" t="inlineStr">
        <is>
          <t>R5</t>
        </is>
      </c>
      <c r="B9" s="11" t="inlineStr">
        <is>
          <t>A second engine loads before the first releases memory, node crashes</t>
        </is>
      </c>
      <c r="C9" s="11" t="inlineStr">
        <is>
          <t>Medium without an arbiter</t>
        </is>
      </c>
      <c r="D9" s="11" t="inlineStr">
        <is>
          <t>High</t>
        </is>
      </c>
      <c r="E9" s="11" t="inlineStr">
        <is>
          <t>Engine Arbiter polls GPU memory before every load (4.2)</t>
        </is>
      </c>
      <c r="F9" s="16" t="inlineStr">
        <is>
          <t>Yes</t>
        </is>
      </c>
      <c r="G9" s="17" t="n"/>
    </row>
    <row r="10">
      <c r="A10" s="12" t="inlineStr">
        <is>
          <t>R6</t>
        </is>
      </c>
      <c r="B10" s="11" t="inlineStr">
        <is>
          <t>GraphRAG indexing is LLM-heavy and slow here</t>
        </is>
      </c>
      <c r="C10" s="11" t="inlineStr">
        <is>
          <t>High</t>
        </is>
      </c>
      <c r="D10" s="11" t="inlineStr">
        <is>
          <t>Medium</t>
        </is>
      </c>
      <c r="E10" s="11" t="inlineStr">
        <is>
          <t>Idle-time Celery job on the resident small model, D7 LightRAG</t>
        </is>
      </c>
      <c r="F10" s="16" t="inlineStr">
        <is>
          <t>Yes</t>
        </is>
      </c>
      <c r="G10" s="17" t="n"/>
    </row>
    <row r="11">
      <c r="A11" s="12" t="inlineStr">
        <is>
          <t>R7</t>
        </is>
      </c>
      <c r="B11" s="11" t="inlineStr">
        <is>
          <t>Cloudflare token in a plain-text file</t>
        </is>
      </c>
      <c r="C11" s="11" t="inlineStr">
        <is>
          <t>Certain today</t>
        </is>
      </c>
      <c r="D11" s="11" t="inlineStr">
        <is>
          <t>High</t>
        </is>
      </c>
      <c r="E11" s="11" t="inlineStr">
        <is>
          <t>Scoped token, mode 600, outside backups and repo (12.3)</t>
        </is>
      </c>
      <c r="F11" s="16" t="inlineStr">
        <is>
          <t>Yes</t>
        </is>
      </c>
      <c r="G11" s="17" t="n"/>
    </row>
    <row r="12">
      <c r="A12" s="12" t="inlineStr">
        <is>
          <t>R8</t>
        </is>
      </c>
      <c r="B12" s="11" t="inlineStr">
        <is>
          <t>Open WebUI phones home by default</t>
        </is>
      </c>
      <c r="C12" s="11" t="inlineStr">
        <is>
          <t>Certain unless hardened</t>
        </is>
      </c>
      <c r="D12" s="11" t="inlineStr">
        <is>
          <t>High for the zero-cloud rule</t>
        </is>
      </c>
      <c r="E12" s="11" t="inlineStr">
        <is>
          <t>Offline hardening in Phase 2 (12.1)</t>
        </is>
      </c>
      <c r="F12" s="16" t="inlineStr">
        <is>
          <t>Yes</t>
        </is>
      </c>
      <c r="G12" s="17" t="n"/>
    </row>
    <row r="13">
      <c r="A13" s="12" t="inlineStr">
        <is>
          <t>R9</t>
        </is>
      </c>
      <c r="B13" s="11" t="inlineStr">
        <is>
          <t>10GbE driver unavailable</t>
        </is>
      </c>
      <c r="C13" s="11" t="inlineStr">
        <is>
          <t>Not applicable</t>
        </is>
      </c>
      <c r="D13" s="11" t="inlineStr">
        <is>
          <t>None</t>
        </is>
      </c>
      <c r="E13" s="11" t="inlineStr">
        <is>
          <t>The node runs on Wi-Fi by the Principal's choice; V1 is informational</t>
        </is>
      </c>
      <c r="F13" s="16" t="inlineStr">
        <is>
          <t>Yes</t>
        </is>
      </c>
      <c r="G13" s="17" t="n"/>
    </row>
    <row r="14">
      <c r="A14" s="12" t="inlineStr">
        <is>
          <t>R19</t>
        </is>
      </c>
      <c r="B14" s="11" t="inlineStr">
        <is>
          <t>DeepSeek V4 Flash llama.cpp support is newer than the other engines</t>
        </is>
      </c>
      <c r="C14" s="11" t="inlineStr">
        <is>
          <t>Medium</t>
        </is>
      </c>
      <c r="D14" s="11" t="inlineStr">
        <is>
          <t>Medium, Apex tier only</t>
        </is>
      </c>
      <c r="E14" s="11" t="inlineStr">
        <is>
          <t>Own row in the Phase 3 gate; a failure defers the engine without blocking the phase or the other six</t>
        </is>
      </c>
      <c r="F14" s="16" t="inlineStr">
        <is>
          <t>Yes</t>
        </is>
      </c>
      <c r="G14" s="17" t="n"/>
    </row>
    <row r="15">
      <c r="A15" s="12" t="inlineStr">
        <is>
          <t>R20</t>
        </is>
      </c>
      <c r="B15" s="11" t="inlineStr">
        <is>
          <t>Wi-Fi throughput and stability over a ~690 GB download</t>
        </is>
      </c>
      <c r="C15" s="11" t="inlineStr">
        <is>
          <t>Medium</t>
        </is>
      </c>
      <c r="D15" s="11" t="inlineStr">
        <is>
          <t>Low, time only</t>
        </is>
      </c>
      <c r="E15" s="11" t="inlineStr">
        <is>
          <t>Phases 3 and 4 detached and resumable; retries are free</t>
        </is>
      </c>
      <c r="F15" s="16" t="inlineStr">
        <is>
          <t>Yes</t>
        </is>
      </c>
      <c r="G15" s="17" t="n"/>
    </row>
    <row r="16">
      <c r="A16" s="12" t="inlineStr">
        <is>
          <t>R21</t>
        </is>
      </c>
      <c r="B16" s="11" t="inlineStr">
        <is>
          <t>XFCE and xrdp widen the surface beyond a headless server</t>
        </is>
      </c>
      <c r="C16" s="11" t="inlineStr">
        <is>
          <t>Low</t>
        </is>
      </c>
      <c r="D16" s="11" t="inlineStr">
        <is>
          <t>Medium</t>
        </is>
      </c>
      <c r="E16" s="11" t="inlineStr">
        <is>
          <t>Bound to LAN and WireGuard only, never internet-facing; no desktop autologin</t>
        </is>
      </c>
      <c r="F16" s="16" t="inlineStr">
        <is>
          <t>Yes</t>
        </is>
      </c>
      <c r="G16" s="17" t="n"/>
    </row>
    <row r="17">
      <c r="A17" s="12" t="inlineStr">
        <is>
          <t>R22</t>
        </is>
      </c>
      <c r="B17" s="11" t="inlineStr">
        <is>
          <t>The atlas service user is in the docker group, which is root-equivalent on the host; the orchestrator needs the socket for the sandbox and Phase 4 containers</t>
        </is>
      </c>
      <c r="C17" s="11" t="inlineStr">
        <is>
          <t>Medium</t>
        </is>
      </c>
      <c r="D17" s="11" t="inlineStr">
        <is>
          <t>High if the orchestrator is ever compromised</t>
        </is>
      </c>
      <c r="E17" s="11" t="inlineStr">
        <is>
          <t>Accepted for Day 1 and recorded in every script header; Day 2 options are rootless Docker or a socket proxy that allows only the sandbox and engine images. New in v0.3.2</t>
        </is>
      </c>
      <c r="F17" s="16" t="inlineStr">
        <is>
          <t>Yes</t>
        </is>
      </c>
      <c r="G17" s="17" t="inlineStr">
        <is>
          <t>Acknowledged 2026-10-08</t>
        </is>
      </c>
    </row>
    <row r="18">
      <c r="A18" s="12" t="inlineStr">
        <is>
          <t>R23</t>
        </is>
      </c>
      <c r="B18" s="11" t="inlineStr">
        <is>
          <t>TPM2 unlock bound to PCR 7 with Secure Boot disabled unseals for any boot medium (see D15)</t>
        </is>
      </c>
      <c r="C18" s="11" t="inlineStr">
        <is>
          <t>Medium</t>
        </is>
      </c>
      <c r="D18" s="11" t="inlineStr">
        <is>
          <t>High for physical theft of the node</t>
        </is>
      </c>
      <c r="E18" s="11" t="inlineStr">
        <is>
          <t>D15 closed as Secure Boot enabled (v0.3.3); mitigated once the Principal makes the BIOS setting. Until then pre-flight warns, V2 notes it and the to-do secure-boot is open; the enrolment itself proceeds. New in v0.3.2</t>
        </is>
      </c>
      <c r="F18" s="16" t="inlineStr">
        <is>
          <t>Yes</t>
        </is>
      </c>
      <c r="G18" s="17" t="inlineStr">
        <is>
          <t>Acknowledged 2026-10-08</t>
        </is>
      </c>
    </row>
    <row r="19">
      <c r="A19" s="12" t="inlineStr">
        <is>
          <t>R24</t>
        </is>
      </c>
      <c r="B19" s="11" t="inlineStr">
        <is>
          <t>xrdp is the LAN service with known unpatched flaws reachable before login: 26.04 packages 0.10.1 in universe, eighteen 2026 xrdp CVEs (fixed upstream in 0.10.6 and 0.10.6.1) are still "needs-triage" for 26.04, Ubuntu Pro's esm-apps carries no fix, and 0.10.1 runs as root. (SSH, Cockpit, Open WebUI and ntfy are also reachable before login from the LAN; none has a comparable open list.)</t>
        </is>
      </c>
      <c r="C19" s="11" t="inlineStr">
        <is>
          <t>Medium</t>
        </is>
      </c>
      <c r="D19" s="11" t="inlineStr">
        <is>
          <t>High (code execution as root) if a LAN device or a WireGuard peer is hostile</t>
        </is>
      </c>
      <c r="E19" s="11" t="inlineStr">
        <is>
          <t>v0.3.4: port 3389 only from the LAN subnet and WireGuard; the VNC proxy entry (vnc-any, the CVSS 9.8 CVE-2026-41252 path, also commented out upstream in 0.10.6.1), the NeutrinoRDP proxy entry (its module is not shipped) and Xvnc switched off; no root login, no alternate shell, TLS only; optional RDP_ALLOW_FROM (addresses inside the LAN, never the WireGuard bridge, checked before the firewall is touched) narrows the LAN side to the Principal's PC, and step 5b records the to-do with the LAN address the PC connected from. Residual: the remaining pre-login bugs from those hosts. Watch for a 26.04 xrdp security update; a later option is to keep 3389 on WireGuard only. New in v0.3.4</t>
        </is>
      </c>
      <c r="F19" s="16" t="inlineStr">
        <is>
          <t>Yes</t>
        </is>
      </c>
      <c r="G19" s="17" t="inlineStr">
        <is>
          <t>Acknowledged 2026-10-08</t>
        </is>
      </c>
    </row>
    <row r="20">
      <c r="A20" s="12" t="inlineStr">
        <is>
          <t>R25</t>
        </is>
      </c>
      <c r="B20" s="11" t="inlineStr">
        <is>
          <t>Unattended upgrades install security updates from the release and security pockets but never reboot, and do not update Docker CE or Google Chrome (third-party repositories), so kernel and library fixes take effect only at the next reboot</t>
        </is>
      </c>
      <c r="C20" s="11" t="inlineStr">
        <is>
          <t>Medium</t>
        </is>
      </c>
      <c r="D20" s="11" t="inlineStr">
        <is>
          <t>Medium</t>
        </is>
      </c>
      <c r="E20" s="11" t="inlineStr">
        <is>
          <t>Accepted for Day 1: an automatic reboot would interrupt long jobs. Day 2: the live ATLAS reports "reboot required" and pending Docker CE/Chrome updates through ntfy and schedules the reboot with the Principal. New in v0.3.4</t>
        </is>
      </c>
      <c r="F20" s="16" t="inlineStr">
        <is>
          <t>Yes</t>
        </is>
      </c>
      <c r="G20" s="17" t="inlineStr">
        <is>
          <t>Acknowledged 2026-10-08</t>
        </is>
      </c>
    </row>
    <row r="21">
      <c r="A21" s="12" t="inlineStr">
        <is>
          <t>R10</t>
        </is>
      </c>
      <c r="B21" s="11" t="inlineStr">
        <is>
          <t>Sustained thermal load in a small chassis</t>
        </is>
      </c>
      <c r="C21" s="11" t="inlineStr">
        <is>
          <t>Medium</t>
        </is>
      </c>
      <c r="D21" s="11" t="inlineStr">
        <is>
          <t>Low</t>
        </is>
      </c>
      <c r="E21" s="11" t="inlineStr">
        <is>
          <t>Monitor temperatures in Cockpit; the chip's configurable ceiling is 120 W and the Principal is adding external cooling</t>
        </is>
      </c>
      <c r="F21" s="16" t="inlineStr">
        <is>
          <t>Yes</t>
        </is>
      </c>
      <c r="G21" s="17" t="n"/>
    </row>
    <row r="22">
      <c r="A22" s="12" t="inlineStr">
        <is>
          <t>R11</t>
        </is>
      </c>
      <c r="B22" s="11" t="inlineStr">
        <is>
          <t>CGNAT prevents inbound WireGuard</t>
        </is>
      </c>
      <c r="C22" s="11" t="inlineStr">
        <is>
          <t>Low, port forward already succeeded</t>
        </is>
      </c>
      <c r="D22" s="11" t="inlineStr">
        <is>
          <t>High for remote access</t>
        </is>
      </c>
      <c r="E22" s="11" t="inlineStr">
        <is>
          <t>V5 from mobile data, static IP from the ISP if needed</t>
        </is>
      </c>
      <c r="F22" s="16" t="inlineStr">
        <is>
          <t>Yes</t>
        </is>
      </c>
      <c r="G22" s="17" t="n"/>
    </row>
    <row r="23">
      <c r="A23" s="12" t="inlineStr">
        <is>
          <t>R12</t>
        </is>
      </c>
      <c r="B23" s="11" t="inlineStr">
        <is>
          <t>Fictitious directors corresponding as humans, AI non-disclosure</t>
        </is>
      </c>
      <c r="C23" s="11" t="inlineStr">
        <is>
          <t>Medium</t>
        </is>
      </c>
      <c r="D23" s="11" t="inlineStr">
        <is>
          <t>Medium to high, legal</t>
        </is>
      </c>
      <c r="E23" s="11" t="inlineStr">
        <is>
          <t>Gideon's sensitive-tier check, approval gate, 16.5</t>
        </is>
      </c>
      <c r="F23" s="16" t="inlineStr">
        <is>
          <t>Yes</t>
        </is>
      </c>
      <c r="G23" s="17" t="n"/>
    </row>
    <row r="24">
      <c r="A24" s="12" t="inlineStr">
        <is>
          <t>R13</t>
        </is>
      </c>
      <c r="B24" s="11" t="inlineStr">
        <is>
          <t>Abliterated engine used for external output</t>
        </is>
      </c>
      <c r="C24" s="11" t="inlineStr">
        <is>
          <t>Medium</t>
        </is>
      </c>
      <c r="D24" s="11" t="inlineStr">
        <is>
          <t>Medium</t>
        </is>
      </c>
      <c r="E24" s="11" t="inlineStr">
        <is>
          <t>Abliterated output always passes the same gate, never routine tier</t>
        </is>
      </c>
      <c r="F24" s="16" t="inlineStr">
        <is>
          <t>Yes</t>
        </is>
      </c>
      <c r="G24" s="17" t="n"/>
    </row>
    <row r="25">
      <c r="A25" s="12" t="inlineStr">
        <is>
          <t>R14</t>
        </is>
      </c>
      <c r="B25" s="11" t="inlineStr">
        <is>
          <t>Chatterbox continuation quirk in production speech</t>
        </is>
      </c>
      <c r="C25" s="11" t="inlineStr">
        <is>
          <t>Medium</t>
        </is>
      </c>
      <c r="D25" s="11" t="inlineStr">
        <is>
          <t>Low</t>
        </is>
      </c>
      <c r="E25" s="11" t="inlineStr">
        <is>
          <t>V7 testing, Kokoro fallback per line</t>
        </is>
      </c>
      <c r="F25" s="16" t="inlineStr">
        <is>
          <t>Yes</t>
        </is>
      </c>
      <c r="G25" s="17" t="n"/>
    </row>
    <row r="26">
      <c r="A26" s="12" t="inlineStr">
        <is>
          <t>R15</t>
        </is>
      </c>
      <c r="B26" s="11" t="inlineStr">
        <is>
          <t>Prompt bloat from domain injection makes every dispatch slow</t>
        </is>
      </c>
      <c r="C26" s="11" t="inlineStr">
        <is>
          <t>High without limits</t>
        </is>
      </c>
      <c r="D26" s="11" t="inlineStr">
        <is>
          <t>High, usability</t>
        </is>
      </c>
      <c r="E26" s="11" t="inlineStr">
        <is>
          <t>Three-card limit, compact cards, stable-prefix ordering (8.4, 4.4)</t>
        </is>
      </c>
      <c r="F26" s="16" t="inlineStr">
        <is>
          <t>Yes</t>
        </is>
      </c>
      <c r="G26" s="17" t="n"/>
    </row>
    <row r="27">
      <c r="A27" s="12" t="inlineStr">
        <is>
          <t>R16</t>
        </is>
      </c>
      <c r="B27" s="11" t="inlineStr">
        <is>
          <t>Backup passphrase or LUKS key lost with the node</t>
        </is>
      </c>
      <c r="C27" s="11" t="inlineStr">
        <is>
          <t>Low</t>
        </is>
      </c>
      <c r="D27" s="11" t="inlineStr">
        <is>
          <t>Catastrophic</t>
        </is>
      </c>
      <c r="E27" s="11" t="inlineStr">
        <is>
          <t>Sharpened under D3. The Principal keeps a copy on the node and on an external USB drive. The on-node copy is convenience only; the USB copy is the one that matters, and it must live away from the node, since a fire or burglary that takes the node takes anything beside it. Quarterly restore test</t>
        </is>
      </c>
      <c r="F27" s="16" t="inlineStr">
        <is>
          <t>Yes</t>
        </is>
      </c>
      <c r="G27" s="17" t="n"/>
    </row>
    <row r="28">
      <c r="A28" s="12" t="inlineStr">
        <is>
          <t>R17</t>
        </is>
      </c>
      <c r="B28" s="11" t="inlineStr">
        <is>
          <t>PyAnnote gated model not accepted, diarisation silently absent</t>
        </is>
      </c>
      <c r="C28" s="11" t="inlineStr">
        <is>
          <t>Medium</t>
        </is>
      </c>
      <c r="D28" s="11" t="inlineStr">
        <is>
          <t>Low</t>
        </is>
      </c>
      <c r="E28" s="11" t="inlineStr">
        <is>
          <t>V6</t>
        </is>
      </c>
      <c r="F28" s="16" t="inlineStr">
        <is>
          <t>Yes</t>
        </is>
      </c>
      <c r="G28" s="17" t="n"/>
    </row>
    <row r="29">
      <c r="A29" s="12" t="inlineStr">
        <is>
          <t>R18</t>
        </is>
      </c>
      <c r="B29" s="11" t="inlineStr">
        <is>
          <t>Continuous vision enabled by drift rather than decision</t>
        </is>
      </c>
      <c r="C29" s="11" t="inlineStr">
        <is>
          <t>Low</t>
        </is>
      </c>
      <c r="D29" s="11" t="inlineStr">
        <is>
          <t>High, privacy</t>
        </is>
      </c>
      <c r="E29" s="11" t="inlineStr">
        <is>
          <t>Separate capability flag under Alaric, logged, D8 item 7</t>
        </is>
      </c>
      <c r="F29" s="16" t="inlineStr">
        <is>
          <t>Yes</t>
        </is>
      </c>
      <c r="G29" s="17" t="n"/>
    </row>
  </sheetData>
  <autoFilter ref="A4:G29"/>
  <conditionalFormatting sqref="F5:F29">
    <cfRule type="cellIs" priority="1" operator="equal" dxfId="0">
      <formula>"Yes"</formula>
    </cfRule>
    <cfRule type="cellIs" priority="2" operator="equal" dxfId="1">
      <formula>"Discuss"</formula>
    </cfRule>
  </conditionalFormatting>
  <dataValidations count="1">
    <dataValidation sqref="F5:F29" showDropDown="0" showInputMessage="0" showErrorMessage="1" allowBlank="1" errorTitle="Invalid entry" error="Pick a value from the list." promptTitle="Choose" prompt="Pick one: Yes / Discuss" type="list" errorStyle="stop">
      <formula1>"Yes,Discuss"</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8"/>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7" customWidth="1" min="1" max="1"/>
    <col width="70" customWidth="1" min="2" max="2"/>
    <col width="24" customWidth="1" min="3" max="3"/>
    <col width="16" customWidth="1" min="4" max="4"/>
    <col width="40" customWidth="1" min="5" max="5"/>
  </cols>
  <sheetData>
    <row r="1">
      <c r="A1" s="1" t="inlineStr">
        <is>
          <t>4 Verification</t>
        </is>
      </c>
    </row>
    <row r="2">
      <c r="A2" s="2" t="inlineStr">
        <is>
          <t>Section 21. Filled in during Day 1 as each phase gate runs. Nothing is trusted until its row reads Pass.</t>
        </is>
      </c>
    </row>
    <row r="4">
      <c r="A4" s="10" t="inlineStr">
        <is>
          <t>ID</t>
        </is>
      </c>
      <c r="B4" s="10" t="inlineStr">
        <is>
          <t>What Day 1 must prove</t>
        </is>
      </c>
      <c r="C4" s="10" t="inlineStr">
        <is>
          <t>Where</t>
        </is>
      </c>
      <c r="D4" s="10" t="inlineStr">
        <is>
          <t>Result</t>
        </is>
      </c>
      <c r="E4" s="10" t="inlineStr">
        <is>
          <t>Evidence or notes</t>
        </is>
      </c>
    </row>
    <row r="5">
      <c r="A5" s="12" t="inlineStr">
        <is>
          <t>V1</t>
        </is>
      </c>
      <c r="B5" s="11" t="inlineStr">
        <is>
          <t>Network link up and stable. Informational only: the node runs on Wi-Fi, so this is no longer a gate</t>
        </is>
      </c>
      <c r="C5" s="11" t="inlineStr">
        <is>
          <t>Phase 1 pre-flight</t>
        </is>
      </c>
      <c r="D5" s="16" t="inlineStr">
        <is>
          <t>Not yet run</t>
        </is>
      </c>
      <c r="E5" s="17" t="n"/>
    </row>
    <row r="6">
      <c r="A6" s="12" t="inlineStr">
        <is>
          <t>V2</t>
        </is>
      </c>
      <c r="B6" s="11" t="inlineStr">
        <is>
          <t>fTPM present and enabled, TPM2 enrolment succeeds</t>
        </is>
      </c>
      <c r="C6" s="11" t="inlineStr">
        <is>
          <t>Phase 1 step 2</t>
        </is>
      </c>
      <c r="D6" s="16" t="inlineStr">
        <is>
          <t>Not yet run</t>
        </is>
      </c>
      <c r="E6" s="17" t="n"/>
    </row>
    <row r="7">
      <c r="A7" s="12" t="inlineStr">
        <is>
          <t>V3</t>
        </is>
      </c>
      <c r="B7" s="11" t="inlineStr">
        <is>
          <t>Kernel parameters accepted on 7.0 and the GTT pool matches them (Phase 1; since S48 the same check also proves the crash settings: no crashkernel= on the booted command line and no crash-kernel memory reserved, exactly one panic=10, kernel.panic 10 and kernel.panic_on_oops 0; since S49 also exactly one kho=, the literal kho=off, and no CMA memory: no kexec handover scratch and no named CMA area); llama-cli --list-devices then lists the GPU as Vulkan0 with at least 160000 MiB (156.25 GiB) of Vulkan device memory and records the figure, which is not the engine budget (Phase 2). rocminfo's gfx1151 confirmation sits in the Phase 4 container under V11</t>
        </is>
      </c>
      <c r="C7" s="11" t="inlineStr">
        <is>
          <t>Phase 1 gate, then Phase 2 gate</t>
        </is>
      </c>
      <c r="D7" s="16" t="inlineStr">
        <is>
          <t>Not yet run</t>
        </is>
      </c>
      <c r="E7" s="17" t="n"/>
    </row>
    <row r="8">
      <c r="A8" s="12" t="inlineStr">
        <is>
          <t>V4</t>
        </is>
      </c>
      <c r="B8" s="11" t="inlineStr">
        <is>
          <t>Quantised KV cache actually applied per model, no silent fallback</t>
        </is>
      </c>
      <c r="C8" s="11" t="inlineStr">
        <is>
          <t>Phase 3 step 2</t>
        </is>
      </c>
      <c r="D8" s="16" t="inlineStr">
        <is>
          <t>Not yet run</t>
        </is>
      </c>
      <c r="E8" s="17" t="n"/>
    </row>
    <row r="9">
      <c r="A9" s="12" t="inlineStr">
        <is>
          <t>V5</t>
        </is>
      </c>
      <c r="B9" s="11" t="inlineStr">
        <is>
          <t>WireGuard reachable from mobile data via vpn.sovereign-node.link</t>
        </is>
      </c>
      <c r="C9" s="11" t="inlineStr">
        <is>
          <t>Phase 1 step 7</t>
        </is>
      </c>
      <c r="D9" s="16" t="inlineStr">
        <is>
          <t>Not yet run</t>
        </is>
      </c>
      <c r="E9" s="17" t="n"/>
    </row>
    <row r="10">
      <c r="A10" s="12" t="inlineStr">
        <is>
          <t>V6</t>
        </is>
      </c>
      <c r="B10" s="11" t="inlineStr">
        <is>
          <t>PyAnnote 3.1 gated model accepted and loading</t>
        </is>
      </c>
      <c r="C10" s="11" t="inlineStr">
        <is>
          <t>Phase 2 step 5</t>
        </is>
      </c>
      <c r="D10" s="16" t="inlineStr">
        <is>
          <t>Not yet run</t>
        </is>
      </c>
      <c r="E10" s="17" t="n"/>
    </row>
    <row r="11">
      <c r="A11" s="12" t="inlineStr">
        <is>
          <t>V7</t>
        </is>
      </c>
      <c r="B11" s="11" t="inlineStr">
        <is>
          <t>Voice casting listening test, Alaric and Gideon clones sourced</t>
        </is>
      </c>
      <c r="C11" s="11" t="inlineStr">
        <is>
          <t>Phase 2 gate</t>
        </is>
      </c>
      <c r="D11" s="16" t="inlineStr">
        <is>
          <t>Not yet run</t>
        </is>
      </c>
      <c r="E11" s="17" t="n"/>
    </row>
    <row r="12">
      <c r="A12" s="12" t="inlineStr">
        <is>
          <t>V8</t>
        </is>
      </c>
      <c r="B12" s="11" t="inlineStr">
        <is>
          <t>PointLLM builds and runs on ROCm in the container</t>
        </is>
      </c>
      <c r="C12" s="11" t="inlineStr">
        <is>
          <t>Phase 4 step 4</t>
        </is>
      </c>
      <c r="D12" s="16" t="inlineStr">
        <is>
          <t>Not yet run</t>
        </is>
      </c>
      <c r="E12" s="17" t="n"/>
    </row>
    <row r="13">
      <c r="A13" s="12" t="inlineStr">
        <is>
          <t>V9</t>
        </is>
      </c>
      <c r="B13" s="11" t="inlineStr">
        <is>
          <t>Clay or Prithvi builds and runs</t>
        </is>
      </c>
      <c r="C13" s="11" t="inlineStr">
        <is>
          <t>Phase 4 step 4</t>
        </is>
      </c>
      <c r="D13" s="16" t="inlineStr">
        <is>
          <t>Not yet run</t>
        </is>
      </c>
      <c r="E13" s="17" t="n"/>
    </row>
    <row r="14">
      <c r="A14" s="12" t="inlineStr">
        <is>
          <t>V10</t>
        </is>
      </c>
      <c r="B14" s="11" t="inlineStr">
        <is>
          <t>All seven GGUF engines load, generate, swap, and release memory at their fixed quantisations, measured tok/s within the expected bands. Eleanor's resident 4B router model is verified separately at the Phase 2 gate, since it is pulled there</t>
        </is>
      </c>
      <c r="C14" s="11" t="inlineStr">
        <is>
          <t>Phase 3 gate</t>
        </is>
      </c>
      <c r="D14" s="16" t="inlineStr">
        <is>
          <t>Not yet run</t>
        </is>
      </c>
      <c r="E14" s="17" t="n"/>
    </row>
    <row r="15">
      <c r="A15" s="12" t="inlineStr">
        <is>
          <t>V11</t>
        </is>
      </c>
      <c r="B15" s="11" t="inlineStr">
        <is>
          <t>Inside the ROCm container: rocminfo reports gfx1151, and the community PyTorch wheel passes tensor, matmul and diffusion self-tests</t>
        </is>
      </c>
      <c r="C15" s="11" t="inlineStr">
        <is>
          <t>Phase 4 step 1</t>
        </is>
      </c>
      <c r="D15" s="16" t="inlineStr">
        <is>
          <t>Not yet run</t>
        </is>
      </c>
      <c r="E15" s="17" t="n"/>
    </row>
    <row r="16">
      <c r="A16" s="12" t="inlineStr">
        <is>
          <t>V12</t>
        </is>
      </c>
      <c r="B16" s="11" t="inlineStr">
        <is>
          <t>Open WebUI makes no outbound connection after hardening (verified with the firewall log)</t>
        </is>
      </c>
      <c r="C16" s="11" t="inlineStr">
        <is>
          <t>Phase 2 step 3</t>
        </is>
      </c>
      <c r="D16" s="16" t="inlineStr">
        <is>
          <t>Not yet run</t>
        </is>
      </c>
      <c r="E16" s="17" t="n"/>
    </row>
    <row r="17">
      <c r="A17" s="12" t="inlineStr">
        <is>
          <t>V13</t>
        </is>
      </c>
      <c r="B17" s="11" t="inlineStr">
        <is>
          <t>restic backup completes and a restore verifies by checksum</t>
        </is>
      </c>
      <c r="C17" s="11" t="inlineStr">
        <is>
          <t>Phase 2 step 7</t>
        </is>
      </c>
      <c r="D17" s="16" t="inlineStr">
        <is>
          <t>Not yet run</t>
        </is>
      </c>
      <c r="E17" s="17" t="n"/>
    </row>
    <row r="18">
      <c r="A18" s="12" t="inlineStr">
        <is>
          <t>V14</t>
        </is>
      </c>
      <c r="B18" s="11" t="inlineStr">
        <is>
          <t>Engine Arbiter refuses an over-budget load and downgrades a Deep Think depth when the projected footprint exceeds budget. Unit-tested against stub footprints at the Phase 2 gate, then proved against real engines at Phase 3</t>
        </is>
      </c>
      <c r="C18" s="11" t="inlineStr">
        <is>
          <t>Phase 2 gate (stubs), Phase 3 gate (real)</t>
        </is>
      </c>
      <c r="D18" s="16" t="inlineStr">
        <is>
          <t>Not yet run</t>
        </is>
      </c>
      <c r="E18" s="17" t="n"/>
    </row>
    <row r="19">
      <c r="A19" s="12" t="inlineStr">
        <is>
          <t>V15</t>
        </is>
      </c>
      <c r="B19" s="11" t="inlineStr">
        <is>
          <t>Approval gate holds a standard-tier email until approved, routine-tier auto-sends and logs</t>
        </is>
      </c>
      <c r="C19" s="11" t="inlineStr">
        <is>
          <t>Phase 2 gate</t>
        </is>
      </c>
      <c r="D19" s="16" t="inlineStr">
        <is>
          <t>Not yet run</t>
        </is>
      </c>
      <c r="E19" s="17" t="n"/>
    </row>
    <row r="20">
      <c r="A20" s="12" t="inlineStr">
        <is>
          <t>V16</t>
        </is>
      </c>
      <c r="B20" s="11" t="inlineStr">
        <is>
          <t>Router hard rule routes a "medical" message to Arthur even when the classifier disagrees, decision logged</t>
        </is>
      </c>
      <c r="C20" s="11" t="inlineStr">
        <is>
          <t>Phase 2 gate</t>
        </is>
      </c>
      <c r="D20" s="16" t="inlineStr">
        <is>
          <t>Not yet run</t>
        </is>
      </c>
      <c r="E20" s="17" t="n"/>
    </row>
    <row r="21">
      <c r="A21" s="12" t="inlineStr">
        <is>
          <t>V17</t>
        </is>
      </c>
      <c r="B21" s="11" t="inlineStr">
        <is>
          <t>Sandbox memory cap kills a runaway process without affecting the node</t>
        </is>
      </c>
      <c r="C21" s="11" t="inlineStr">
        <is>
          <t>Phase 2 gate</t>
        </is>
      </c>
      <c r="D21" s="16" t="inlineStr">
        <is>
          <t>Not yet run</t>
        </is>
      </c>
      <c r="E21" s="17" t="n"/>
    </row>
    <row r="22">
      <c r="A22" s="12" t="inlineStr">
        <is>
          <t>V18</t>
        </is>
      </c>
      <c r="B22" s="11" t="inlineStr">
        <is>
          <t>Vault opens by button, locks on idle, vault-tagged content absent from memory collections afterwards</t>
        </is>
      </c>
      <c r="C22" s="11" t="inlineStr">
        <is>
          <t>Phase 2 gate</t>
        </is>
      </c>
      <c r="D22" s="16" t="inlineStr">
        <is>
          <t>Not yet run</t>
        </is>
      </c>
      <c r="E22" s="17" t="n"/>
    </row>
    <row r="23">
      <c r="A23" s="12" t="inlineStr">
        <is>
          <t>V19</t>
        </is>
      </c>
      <c r="B23" s="11" t="inlineStr">
        <is>
          <t>XFCE desktop reachable over xrdp from the Principal's Windows PC, and refused from outside LAN and WireGuard</t>
        </is>
      </c>
      <c r="C23" s="11" t="inlineStr">
        <is>
          <t>Phase 1 step 5b</t>
        </is>
      </c>
      <c r="D23" s="16" t="inlineStr">
        <is>
          <t>Not yet run</t>
        </is>
      </c>
      <c r="E23" s="17" t="n"/>
    </row>
    <row r="24">
      <c r="A24" s="12" t="inlineStr">
        <is>
          <t>V20</t>
        </is>
      </c>
      <c r="B24" s="11" t="inlineStr">
        <is>
          <t>Google OAuth completed for both accounts at the Phase 2 pause; Gmail, Calendar and Drive reachable</t>
        </is>
      </c>
      <c r="C24" s="11" t="inlineStr">
        <is>
          <t>Phase 2 step 6c</t>
        </is>
      </c>
      <c r="D24" s="16" t="inlineStr">
        <is>
          <t>Not yet run</t>
        </is>
      </c>
      <c r="E24" s="17" t="n"/>
    </row>
    <row r="25">
      <c r="A25" s="12" t="inlineStr">
        <is>
          <t>V21</t>
        </is>
      </c>
      <c r="B25" s="11" t="inlineStr">
        <is>
          <t>Two engines resident together at ~142 GB, and a second generation request queues instead of running concurrently</t>
        </is>
      </c>
      <c r="C25" s="11" t="inlineStr">
        <is>
          <t>Phase 3 step 3</t>
        </is>
      </c>
      <c r="D25" s="16" t="inlineStr">
        <is>
          <t>Not yet run</t>
        </is>
      </c>
      <c r="E25" s="17" t="n"/>
    </row>
    <row r="26">
      <c r="A26" s="12" t="inlineStr">
        <is>
          <t>V22</t>
        </is>
      </c>
      <c r="B26" s="11" t="inlineStr">
        <is>
          <t>DeepSeek V4 Flash loads at UD-Q4_K_XL and generates; if not, it is deferred without blocking the phase</t>
        </is>
      </c>
      <c r="C26" s="11" t="inlineStr">
        <is>
          <t>Phase 3 gate</t>
        </is>
      </c>
      <c r="D26" s="16" t="inlineStr">
        <is>
          <t>Not yet run</t>
        </is>
      </c>
      <c r="E26" s="17" t="n"/>
    </row>
    <row r="27">
      <c r="A27" s="12" t="inlineStr">
        <is>
          <t>V23</t>
        </is>
      </c>
      <c r="B27" s="11" t="inlineStr">
        <is>
          <t>Cloudflare token relocated to a mode-600 environment file and CLOUDFLARE.txt deleted</t>
        </is>
      </c>
      <c r="C27" s="11" t="inlineStr">
        <is>
          <t>Phase 2 step 6b</t>
        </is>
      </c>
      <c r="D27" s="16" t="inlineStr">
        <is>
          <t>Not yet run</t>
        </is>
      </c>
      <c r="E27" s="17" t="n"/>
    </row>
    <row r="28">
      <c r="A28" s="12" t="inlineStr">
        <is>
          <t>V24</t>
        </is>
      </c>
      <c r="B28" s="11" t="inlineStr">
        <is>
          <t>The hardware watchdog is armed (S50): systemd holds the platform's watchdog device (SP5100 TCO timer expected) and pings it, with RuntimeWatchdogSec=2min and RebootWatchdogSec=10min in effect, the device active with a 120-second timeout, its driver unit enabled and active, and no other process holding a watchdog device. When step 4 found no hardware watchdog, the softdog fallback armed the same way is recorded deferred (to-do watchdog); no watchdog device at all is a fail. It proves the timer is armed, not that this board's reset completes</t>
        </is>
      </c>
      <c r="C28" s="11" t="inlineStr">
        <is>
          <t>Phase 1 step 5; Phase 1 gate</t>
        </is>
      </c>
      <c r="D28" s="16" t="inlineStr">
        <is>
          <t>Not yet run</t>
        </is>
      </c>
      <c r="E28" s="17" t="n"/>
    </row>
  </sheetData>
  <autoFilter ref="A4:E28"/>
  <conditionalFormatting sqref="D5:D28">
    <cfRule type="cellIs" priority="1" operator="equal" dxfId="0">
      <formula>"Pass"</formula>
    </cfRule>
    <cfRule type="cellIs" priority="2" operator="equal" dxfId="2">
      <formula>"Deferred"</formula>
    </cfRule>
    <cfRule type="cellIs" priority="3" operator="equal" dxfId="2">
      <formula>"Not yet run"</formula>
    </cfRule>
    <cfRule type="cellIs" priority="4" operator="equal" dxfId="1">
      <formula>"Fail"</formula>
    </cfRule>
  </conditionalFormatting>
  <dataValidations count="1">
    <dataValidation sqref="D5:D28" showDropDown="0" showInputMessage="0" showErrorMessage="1" allowBlank="1" errorTitle="Invalid entry" error="Pick a value from the list." promptTitle="Choose" prompt="Pick one: Pass / Fail / Deferred / Not yet run" type="list" errorStyle="stop">
      <formula1>"Pass,Fail,Deferred,Not yet run"</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29"/>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7" customWidth="1" min="1" max="1"/>
    <col width="34" customWidth="1" min="2" max="2"/>
    <col width="76" customWidth="1" min="3" max="3"/>
    <col width="12" customWidth="1" min="4" max="4"/>
    <col width="34" customWidth="1" min="5" max="5"/>
  </cols>
  <sheetData>
    <row r="1">
      <c r="A1" s="1" t="inlineStr">
        <is>
          <t>5 Checklist</t>
        </is>
      </c>
    </row>
    <row r="2">
      <c r="A2" s="2" t="inlineStr">
        <is>
          <t>Section 22. The original rows were ticked in the workbook returned 2026-09-21. Blank rows: the Secure Boot BIOS setting (required, v0.3.3) and the optional items the scripts ask for at a prompt (Yes when provided, N/A to leave them for the live ATLAS to-do list). Phase 1 runs with only the Secure Boot row and the install rows ticked.</t>
        </is>
      </c>
    </row>
    <row r="4">
      <c r="A4" s="10" t="inlineStr">
        <is>
          <t>#</t>
        </is>
      </c>
      <c r="B4" s="10" t="inlineStr">
        <is>
          <t>Group</t>
        </is>
      </c>
      <c r="C4" s="10" t="inlineStr">
        <is>
          <t>Item</t>
        </is>
      </c>
      <c r="D4" s="10" t="inlineStr">
        <is>
          <t>Done</t>
        </is>
      </c>
      <c r="E4" s="10" t="inlineStr">
        <is>
          <t>Notes</t>
        </is>
      </c>
    </row>
    <row r="5">
      <c r="A5" s="12" t="n">
        <v>1</v>
      </c>
      <c r="B5" s="11" t="inlineStr">
        <is>
          <t>Principal's actions — what is genuinely left</t>
        </is>
      </c>
      <c r="C5" s="11" t="inlineStr">
        <is>
          <t>Answer D1 through D14. Done, all fourteen closed in Section 19.</t>
        </is>
      </c>
      <c r="D5" s="16" t="inlineStr">
        <is>
          <t>Yes</t>
        </is>
      </c>
      <c r="E5" s="17" t="n"/>
    </row>
    <row r="6">
      <c r="A6" s="12" t="n">
        <v>2</v>
      </c>
      <c r="B6" s="11" t="inlineStr">
        <is>
          <t>Principal's actions — what is genuinely left</t>
        </is>
      </c>
      <c r="C6" s="11" t="inlineStr">
        <is>
          <t>Decide where the LUKS recovery key and restic passphrase live (D3). Done: node plus external USB.</t>
        </is>
      </c>
      <c r="D6" s="16" t="inlineStr">
        <is>
          <t>Yes</t>
        </is>
      </c>
      <c r="E6" s="17" t="n"/>
    </row>
    <row r="7">
      <c r="A7" s="12" t="n">
        <v>3</v>
      </c>
      <c r="B7" s="11" t="inlineStr">
        <is>
          <t>Principal's actions — what is genuinely left</t>
        </is>
      </c>
      <c r="C7" s="11" t="inlineStr">
        <is>
          <t>Confirm the Sentinel feed list (D6), the director alias pattern (D14), and the Apple build path (D11, removed).</t>
        </is>
      </c>
      <c r="D7" s="16" t="inlineStr">
        <is>
          <t>Yes</t>
        </is>
      </c>
      <c r="E7" s="17" t="n"/>
    </row>
    <row r="8">
      <c r="A8" s="12" t="n">
        <v>4</v>
      </c>
      <c r="B8" s="11" t="inlineStr">
        <is>
          <t>Principal's actions — what is genuinely left</t>
        </is>
      </c>
      <c r="C8" s="11" t="inlineStr">
        <is>
          <t>Have the USB recovery drive present on Day 1 and write it at the Day 1 close-out: the LUKS recovery key (shown once in Phase 1 step 2), the restic passphrase (/etc/atlas/secrets/restic.pass, shown once in Phase 2 step 7) and the vault passphrase you chose (step 9b); then store it away from the node, not beside it (R16). *Reworded in v0.3.2: the material does not exist before Day 1, so the drive cannot be "stored" yet.*</t>
        </is>
      </c>
      <c r="D8" s="16" t="n"/>
      <c r="E8" s="17" t="n"/>
    </row>
    <row r="9">
      <c r="A9" s="12" t="n">
        <v>5</v>
      </c>
      <c r="B9" s="11" t="inlineStr">
        <is>
          <t>Principal's actions — what is genuinely left</t>
        </is>
      </c>
      <c r="C9" s="11" t="inlineStr">
        <is>
          <t>New in v0.3.3: enable Secure Boot in the BIOS before Phase 1 (D15, option (a)). The one BIOS change since the workbook; without it pre-flight warns and the to-do secure-boot stays open, nothing stops.</t>
        </is>
      </c>
      <c r="D9" s="16" t="n"/>
      <c r="E9" s="17" t="n"/>
    </row>
    <row r="10">
      <c r="A10" s="12" t="n">
        <v>6</v>
      </c>
      <c r="B10" s="11" t="inlineStr">
        <is>
          <t>Principal's actions — what is genuinely left</t>
        </is>
      </c>
      <c r="C10" s="11" t="inlineStr">
        <is>
          <t>Optional, asked at the prompt (v0.3.3): your SSH public key, pasted when Phase 1 step 1 asks (the step prints the PowerShell command that shows it); skipped, password SSH stays on until the key is added (to-do ssh-key).</t>
        </is>
      </c>
      <c r="D10" s="16" t="n"/>
      <c r="E10" s="17" t="n"/>
    </row>
    <row r="11">
      <c r="A11" s="12" t="n">
        <v>7</v>
      </c>
      <c r="B11" s="11" t="inlineStr">
        <is>
          <t>Principal's actions — what is genuinely left</t>
        </is>
      </c>
      <c r="C11" s="11" t="inlineStr">
        <is>
          <t>Optional, asked at the prompt (v0.3.3): GOOGLE_ACCOUNTS (two addresses, each tagged corporate or estate), FAMILY_NAMES (for the router's hard rule) and BUILDFARM_ACCEPT_ANDROID_SDK_LICENCE (Google's Android SDK licence, needed by the build container) are asked once by the first run, with an example each; a skip records a to-do and the dependent step defers itself. WINDOWS_SHARE is not asked (Section 12.4: live to-do).</t>
        </is>
      </c>
      <c r="D11" s="16" t="n"/>
      <c r="E11" s="17" t="n"/>
    </row>
    <row r="12">
      <c r="A12" s="12" t="n">
        <v>8</v>
      </c>
      <c r="B12" s="11" t="inlineStr">
        <is>
          <t>Principal's actions — what is genuinely left</t>
        </is>
      </c>
      <c r="C12" s="11" t="inlineStr">
        <is>
          <t>~~/etc/atlas/secrets/smb.cred for the Windows share account~~ Deferred to the live ATLAS (v0.3.3) with the share itself; Phase 2 step 9 is skipped. No action before Day 1.</t>
        </is>
      </c>
      <c r="D12" s="16" t="inlineStr">
        <is>
          <t>Yes</t>
        </is>
      </c>
      <c r="E12" s="17" t="n"/>
    </row>
    <row r="13">
      <c r="A13" s="12" t="n">
        <v>9</v>
      </c>
      <c r="B13" s="11" t="inlineStr">
        <is>
          <t>Principal's actions — what is genuinely left</t>
        </is>
      </c>
      <c r="C13" s="11" t="inlineStr">
        <is>
          <t>Decide D15 (Secure Boot and the TPM binding). Done 2026-10-05: option (a).</t>
        </is>
      </c>
      <c r="D13" s="16" t="inlineStr">
        <is>
          <t>Yes</t>
        </is>
      </c>
      <c r="E13" s="17" t="n"/>
    </row>
    <row r="14">
      <c r="A14" s="12" t="n">
        <v>10</v>
      </c>
      <c r="B14" s="11" t="inlineStr">
        <is>
          <t>Principal's actions — what is genuinely left</t>
        </is>
      </c>
      <c r="C14" s="11" t="inlineStr">
        <is>
          <t>Create the Google Cloud OAuth client for Gmail, Calendar and Drive, and be reachable for roughly five minutes during the Phase 2 pause (V20). Client created. The consent click itself still happens during Phase 2; Google requires the account owner to click Allow. The client must be of the Desktop app type (its JSON has a top-level installed key; a web key is the wrong type and Phase 2 stops at minute 0 saying so). Drop the JSON into /srv/atlas/staging/inbox/google-oauth-client.json once Phase 1 has created that folder.</t>
        </is>
      </c>
      <c r="D14" s="16" t="inlineStr">
        <is>
          <t>Yes</t>
        </is>
      </c>
      <c r="E14" s="17" t="n"/>
    </row>
    <row r="15">
      <c r="A15" s="12" t="n">
        <v>11</v>
      </c>
      <c r="B15" s="11" t="inlineStr">
        <is>
          <t>Principal's actions — what is genuinely left</t>
        </is>
      </c>
      <c r="C15" s="11" t="inlineStr">
        <is>
          <t>Optional, asked at the prompt (v0.3.1, relaxed in v0.3.3): create a Hugging Face access token (read scope) and, with the same account, accept the licences of the gated models on huggingface.co: pyannote/speaker-diarization-3.1 and pyannote/segmentation-3.0 (V6), black-forest-labs/FLUX.1-dev and stabilityai/stable-audio-open-1.0 (Phase 4). Phase 2 asks for the token once at its start (hidden input) and stores it under /etc/atlas/secrets/; skipped, V6 and the gated Phase 4 engines are deferred with the to-do input-hf-token.</t>
        </is>
      </c>
      <c r="D15" s="16" t="n"/>
      <c r="E15" s="17" t="n"/>
    </row>
    <row r="16">
      <c r="A16" s="12" t="n">
        <v>12</v>
      </c>
      <c r="B16" s="11" t="inlineStr">
        <is>
          <t>Principal's actions — what is genuinely left</t>
        </is>
      </c>
      <c r="C16" s="11" t="inlineStr">
        <is>
          <t>Optional, asked at the prompt (v0.3.1, relaxed in v0.3.3): have the Cloudflare zone id for sovereign-node.link to hand (Overview page of the zone). A Zone:DNS:Edit-only token cannot look the zone up by name; Phase 1 step 7 asks for the id once if the token cannot list zones. A missing CLOUDFLARE.txt or a skipped zone id defers dynamic DNS and V23 with a to-do.</t>
        </is>
      </c>
      <c r="D16" s="16" t="n"/>
      <c r="E16" s="17" t="n"/>
    </row>
    <row r="17">
      <c r="A17" s="12" t="n">
        <v>13</v>
      </c>
      <c r="B17" s="11" t="inlineStr">
        <is>
          <t>Principal's actions — what is genuinely left</t>
        </is>
      </c>
      <c r="C17" s="11" t="inlineStr">
        <is>
          <t>Source reference recordings for Alaric's gravelly voice and, if the British male presets collide, Gideon's. Sourced. Drop them as alaric.* and gideon.* (WAV, MP3 or M4A; step 5 converts to 16 kHz mono WAV) into /srv/atlas/staging/inbox/voice-references/ once Phase 1 has created the folder; if absent, both fall back to the nearest Kokoro preset and V7 is recorded as deferred, not failed.</t>
        </is>
      </c>
      <c r="D17" s="16" t="inlineStr">
        <is>
          <t>Yes</t>
        </is>
      </c>
      <c r="E17" s="17" t="n"/>
    </row>
    <row r="18">
      <c r="A18" s="12" t="n">
        <v>14</v>
      </c>
      <c r="B18" s="11" t="inlineStr">
        <is>
          <t>Principal's actions — what is genuinely left</t>
        </is>
      </c>
      <c r="C18" s="11" t="inlineStr">
        <is>
          <t>Have a monitor and keyboard available for Phase 1 only, in case first boot needs a hand. Done.</t>
        </is>
      </c>
      <c r="D18" s="16" t="inlineStr">
        <is>
          <t>Yes</t>
        </is>
      </c>
      <c r="E18" s="17" t="n"/>
    </row>
    <row r="19">
      <c r="A19" s="12" t="n">
        <v>15</v>
      </c>
      <c r="B19" s="11" t="inlineStr">
        <is>
          <t>Automated on the Principal's instruction, no action needed</t>
        </is>
      </c>
      <c r="C19" s="11" t="inlineStr">
        <is>
          <t>Cloudflare token relocation and deletion of CLOUDFLARE.txt: Phase 2 step 6b (V23).</t>
        </is>
      </c>
      <c r="D19" s="16" t="inlineStr">
        <is>
          <t>Yes</t>
        </is>
      </c>
      <c r="E19" s="17" t="n"/>
    </row>
    <row r="20">
      <c r="A20" s="12" t="n">
        <v>16</v>
      </c>
      <c r="B20" s="11" t="inlineStr">
        <is>
          <t>Automated on the Principal's instruction, no action needed</t>
        </is>
      </c>
      <c r="C20" s="11" t="inlineStr">
        <is>
          <t>Director aliases generated from names rather than confirmed one by one (D14).</t>
        </is>
      </c>
      <c r="D20" s="16" t="inlineStr">
        <is>
          <t>Yes</t>
        </is>
      </c>
      <c r="E20" s="17" t="n"/>
    </row>
    <row r="21">
      <c r="A21" s="12" t="n">
        <v>17</v>
      </c>
      <c r="B21" s="11" t="inlineStr">
        <is>
          <t>Build-side preconditions</t>
        </is>
      </c>
      <c r="C21" s="11" t="inlineStr">
        <is>
          <t>Ubuntu Server 26.04.1 installed on the 4 TB drive with the installer's encrypted-LVM (LUKS) option (installer storage step: *Use an entire disk*, the 4 TB drive, tick *Encrypt the LVM group with LUKS*, choose a disk passphrase; Section 3.5 requires both volumes encrypted; v0.3.3: an unencrypted OS volume is a warning and the to-do os-volume-encryption, not a stop); 8 TB drive unpartitioned. No desktop needed at install time: Phase 1 step 5b installs XFCE, xrdp and Chrome. Done per the returned workbook; confirm the encryption option was taken.</t>
        </is>
      </c>
      <c r="D21" s="16" t="inlineStr">
        <is>
          <t>Yes</t>
        </is>
      </c>
      <c r="E21" s="17" t="n"/>
    </row>
    <row r="22">
      <c r="A22" s="12" t="n">
        <v>18</v>
      </c>
      <c r="B22" s="11" t="inlineStr">
        <is>
          <t>Build-side preconditions</t>
        </is>
      </c>
      <c r="C22" s="11" t="inlineStr">
        <is>
          <t>BIOS: UMA minimum, IOMMU on, fTPM on. Done. Secure Boot: enabled (D15, v0.3.3; see the Principal's actions above).</t>
        </is>
      </c>
      <c r="D22" s="16" t="inlineStr">
        <is>
          <t>Yes</t>
        </is>
      </c>
      <c r="E22" s="17" t="n"/>
    </row>
    <row r="23">
      <c r="A23" s="12" t="n">
        <v>19</v>
      </c>
      <c r="B23" s="11" t="inlineStr">
        <is>
          <t>Build-side preconditions</t>
        </is>
      </c>
      <c r="C23" s="11" t="inlineStr">
        <is>
          <t>LAN address reserved for the node on the router (DHCP reservation for the node's MAC, Wi-Fi or cable: Phase 1 uses whichever interface is up); UDP 51820 forward confirmed to that address. Done. The reservation is what keeps the forward pointing at the node; no further IP action is needed, and the VPN test from mobile data (V5) can be done whenever convenient.</t>
        </is>
      </c>
      <c r="D23" s="16" t="inlineStr">
        <is>
          <t>Yes</t>
        </is>
      </c>
      <c r="E23" s="17" t="n"/>
    </row>
    <row r="24">
      <c r="A24" s="12" t="n">
        <v>20</v>
      </c>
      <c r="B24" s="11" t="inlineStr">
        <is>
          <t>Build-side preconditions</t>
        </is>
      </c>
      <c r="C24" s="11" t="inlineStr">
        <is>
          <t>Internet bandwidth known, so the ~690 GB Phase 3 download can be planned. Done; the figure was not recorded in the workbook, so the 100 Mbps planning assumption in 15.4 stands until stated.</t>
        </is>
      </c>
      <c r="D24" s="16" t="inlineStr">
        <is>
          <t>Yes</t>
        </is>
      </c>
      <c r="E24" s="17" t="n"/>
    </row>
    <row r="25">
      <c r="A25" s="12" t="n">
        <v>21</v>
      </c>
      <c r="B25" s="11" t="inlineStr">
        <is>
          <t>Accepted resolutions</t>
        </is>
      </c>
      <c r="C25" s="11" t="inlineStr">
        <is>
          <t>C1 through C20 accepted in the returned workbook. C19 was reopened and re-decided in the Principal's favour.</t>
        </is>
      </c>
      <c r="D25" s="16" t="inlineStr">
        <is>
          <t>Yes</t>
        </is>
      </c>
      <c r="E25" s="17" t="n"/>
    </row>
    <row r="26">
      <c r="A26" s="12" t="n">
        <v>22</v>
      </c>
      <c r="B26" s="11" t="inlineStr">
        <is>
          <t>Accepted resolutions</t>
        </is>
      </c>
      <c r="C26" s="11" t="inlineStr">
        <is>
          <t>C21 through C26, new in v0.2, accepted in the returned workbook: the Ubuntu and amd64v3 rejections, the quantisation rise, the closed reserve list, the vision consolidation, and the residency-versus-generation reading.</t>
        </is>
      </c>
      <c r="D26" s="16" t="inlineStr">
        <is>
          <t>Yes</t>
        </is>
      </c>
      <c r="E26" s="17" t="n"/>
    </row>
    <row r="27">
      <c r="A27" s="12" t="n">
        <v>23</v>
      </c>
      <c r="B27" s="11" t="inlineStr">
        <is>
          <t>Accepted resolutions</t>
        </is>
      </c>
      <c r="C27" s="11" t="inlineStr">
        <is>
          <t>R9, R16, R19, R20 and R21 acknowledged in the returned workbook: two changed wording in v0.2, three were new.</t>
        </is>
      </c>
      <c r="D27" s="16" t="inlineStr">
        <is>
          <t>Yes</t>
        </is>
      </c>
      <c r="E27" s="17" t="n"/>
    </row>
    <row r="28">
      <c r="A28" s="12" t="n">
        <v>24</v>
      </c>
      <c r="B28" s="11" t="inlineStr">
        <is>
          <t>Accepted resolutions</t>
        </is>
      </c>
      <c r="C28" s="11" t="inlineStr">
        <is>
          <t>C27, new in v0.3.4: Ubuntu Server 26.04.1 kept over Fedora 44 KDE Plasma. Decided by the Principal on 2026-10-08.</t>
        </is>
      </c>
      <c r="D28" s="16" t="inlineStr">
        <is>
          <t>Yes</t>
        </is>
      </c>
      <c r="E28" s="17" t="n"/>
    </row>
    <row r="29">
      <c r="A29" s="12" t="n">
        <v>25</v>
      </c>
      <c r="B29" s="11" t="inlineStr">
        <is>
          <t>Accepted resolutions</t>
        </is>
      </c>
      <c r="C29" s="11" t="inlineStr">
        <is>
          <t>R22 to R25 acknowledged by the Principal on 2026-10-08 (R22 and R23 new in v0.3.2, R24 and R25 new in v0.3.4).</t>
        </is>
      </c>
      <c r="D29" s="16" t="inlineStr">
        <is>
          <t>Yes</t>
        </is>
      </c>
      <c r="E29" s="17" t="n"/>
    </row>
  </sheetData>
  <autoFilter ref="A4:E29"/>
  <conditionalFormatting sqref="D5:D29">
    <cfRule type="cellIs" priority="1" operator="equal" dxfId="0">
      <formula>"Yes"</formula>
    </cfRule>
    <cfRule type="cellIs" priority="2" operator="equal" dxfId="0">
      <formula>"N/A"</formula>
    </cfRule>
    <cfRule type="cellIs" priority="3" operator="equal" dxfId="1">
      <formula>"No"</formula>
    </cfRule>
  </conditionalFormatting>
  <dataValidations count="1">
    <dataValidation sqref="D5:D29" showDropDown="0" showInputMessage="0" showErrorMessage="1" allowBlank="1" errorTitle="Invalid entry" error="Pick a value from the list." promptTitle="Choose" prompt="Pick one: Yes / No / N/A" type="list" errorStyle="stop">
      <formula1>"Yes,No,N/A"</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34"/>
  <sheetViews>
    <sheetView showGridLines="0" workbookViewId="0">
      <pane ySplit="3" topLeftCell="A4" activePane="bottomLeft" state="frozen"/>
      <selection pane="bottomLeft" activeCell="A1" sqref="A1"/>
    </sheetView>
  </sheetViews>
  <sheetFormatPr baseColWidth="8" defaultRowHeight="15"/>
  <cols>
    <col width="24" customWidth="1" min="1" max="1"/>
    <col width="34" customWidth="1" min="2" max="2"/>
    <col width="34" customWidth="1" min="3" max="3"/>
    <col width="34" customWidth="1" min="4" max="4"/>
    <col width="30" customWidth="1" min="5" max="5"/>
    <col width="20" customWidth="1" min="6" max="6"/>
  </cols>
  <sheetData>
    <row r="1">
      <c r="A1" s="1" t="inlineStr">
        <is>
          <t>Ref Engines</t>
        </is>
      </c>
    </row>
    <row r="2">
      <c r="A2" s="2" t="inlineStr">
        <is>
          <t>Sections 5.1, 6.1, 6.2. Engines and their quantisations, hemispheres, and the final persona-to-engine map.</t>
        </is>
      </c>
    </row>
    <row r="4">
      <c r="A4" s="3" t="inlineStr">
        <is>
          <t>Five core engines (two may be resident; exactly one generates at a time)</t>
        </is>
      </c>
    </row>
    <row r="5">
      <c r="A5" s="10" t="inlineStr">
        <is>
          <t>Engine</t>
        </is>
      </c>
      <c r="B5" s="10" t="inlineStr">
        <is>
          <t>Architecture</t>
        </is>
      </c>
      <c r="C5" s="10" t="inlineStr">
        <is>
          <t>Quantisation</t>
        </is>
      </c>
      <c r="D5" s="10" t="inlineStr">
        <is>
          <t>File</t>
        </is>
      </c>
      <c r="E5" s="10" t="inlineStr">
        <is>
          <t>Decode</t>
        </is>
      </c>
      <c r="F5" s="10" t="inlineStr">
        <is>
          <t>Role</t>
        </is>
      </c>
    </row>
    <row r="6">
      <c r="A6" s="11" t="inlineStr">
        <is>
          <t>gpt-oss-120b</t>
        </is>
      </c>
      <c r="B6" s="11" t="inlineStr">
        <is>
          <t>117B MoE, 5.1B active</t>
        </is>
      </c>
      <c r="C6" s="11" t="inlineStr">
        <is>
          <t>MXFP4, native</t>
        </is>
      </c>
      <c r="D6" s="11" t="inlineStr">
        <is>
          <t>63 GB</t>
        </is>
      </c>
      <c r="E6" s="11" t="inlineStr">
        <is>
          <t>30–55 tok/s</t>
        </is>
      </c>
      <c r="F6" s="11" t="inlineStr">
        <is>
          <t>Default resident engine. Ren, Helena, Victor, Gideon, Minerva</t>
        </is>
      </c>
    </row>
    <row r="7">
      <c r="A7" s="11" t="inlineStr">
        <is>
          <t>gpt-oss-120b abliterated (Huihui)</t>
        </is>
      </c>
      <c r="B7" s="11" t="inlineStr">
        <is>
          <t>Same weights, refusals removed</t>
        </is>
      </c>
      <c r="C7" s="11" t="inlineStr">
        <is>
          <t>MXFP4, re-quantised (Section 23: the abliteration is applied to the BF16 upcast; the MXFP4 GGUF is a requant, same size and speed, the "no accuracy cost" argument below does not transfer)</t>
        </is>
      </c>
      <c r="D7" s="11" t="inlineStr">
        <is>
          <t>63 GB</t>
        </is>
      </c>
      <c r="E7" s="11" t="inlineStr">
        <is>
          <t>Same</t>
        </is>
      </c>
      <c r="F7" s="11" t="inlineStr">
        <is>
          <t>Valerie default; Ren and Arthur on explicit override</t>
        </is>
      </c>
    </row>
    <row r="8">
      <c r="A8" s="11" t="inlineStr">
        <is>
          <t>Nemotron 3 Super</t>
        </is>
      </c>
      <c r="B8" s="11" t="inlineStr">
        <is>
          <t>120B hybrid Mamba MoE, 12B active (A12B)</t>
        </is>
      </c>
      <c r="C8" s="11" t="inlineStr">
        <is>
          <t>Q8_0, raised from 4-bit</t>
        </is>
      </c>
      <c r="D8" s="11" t="inlineStr">
        <is>
          <t>120–123 GB</t>
        </is>
      </c>
      <c r="E8" s="11" t="inlineStr">
        <is>
          <t>~12–14 tok/s</t>
        </is>
      </c>
      <c r="F8" s="11" t="inlineStr">
        <is>
          <t>Arthur default. Silas, Alaric</t>
        </is>
      </c>
    </row>
    <row r="9">
      <c r="A9" s="11" t="inlineStr">
        <is>
          <t>Qwen3.5-122B-A10B</t>
        </is>
      </c>
      <c r="B9" s="11" t="inlineStr">
        <is>
          <t>122B MoE, 10B active, 256k context, multilingual</t>
        </is>
      </c>
      <c r="C9" s="11" t="inlineStr">
        <is>
          <t>Q8_0, raised from 4-bit</t>
        </is>
      </c>
      <c r="D9" s="11" t="inlineStr">
        <is>
          <t>130 GB</t>
        </is>
      </c>
      <c r="E9" s="11" t="inlineStr">
        <is>
          <t>~15–17 tok/s</t>
        </is>
      </c>
      <c r="F9" s="11" t="inlineStr">
        <is>
          <t>Override engine for long documents and future languages</t>
        </is>
      </c>
    </row>
    <row r="10">
      <c r="A10" s="11" t="inlineStr">
        <is>
          <t>DeepSeek V4 Flash (0731 checkpoint, MIT)</t>
        </is>
      </c>
      <c r="B10" s="11" t="inlineStr">
        <is>
          <t>284B MoE, 13B active</t>
        </is>
      </c>
      <c r="C10" s="11" t="inlineStr">
        <is>
          <t>UD-Q4_K_XL</t>
        </is>
      </c>
      <c r="D10" s="11" t="inlineStr">
        <is>
          <t>155 GB</t>
        </is>
      </c>
      <c r="E10" s="11" t="inlineStr">
        <is>
          <t>25–32 tok/s</t>
        </is>
      </c>
      <c r="F10" s="11" t="inlineStr">
        <is>
          <t>NEW. The Apex engine. Deep Think deep tier, TF_OMEGA, strong cross-checks. Runs alone</t>
        </is>
      </c>
    </row>
    <row r="11">
      <c r="A11" s="2" t="inlineStr">
        <is>
          <t>Sixth engine, Phase 3, confirmed included (D12): Meditron-70B, dense, Q8_0, ~74 GB, ~3 tok/s, Minerva cross-check only, runs through llama.cpp (C5). Seventh: Qwen2.5-VL-72B at Q8_0, 79 GB, the sole vision engine, also pulled in Phase 3.</t>
        </is>
      </c>
    </row>
    <row r="13">
      <c r="A13" s="3" t="inlineStr">
        <is>
          <t>The two hemispheres</t>
        </is>
      </c>
    </row>
    <row r="14">
      <c r="A14" s="10" t="inlineStr">
        <is>
          <t>Attribute</t>
        </is>
      </c>
      <c r="B14" s="10" t="inlineStr">
        <is>
          <t>Ren Ackerman — Vanguard, Prime Director</t>
        </is>
      </c>
      <c r="C14" s="10" t="inlineStr">
        <is>
          <t>Arthur Sterling — Architect, Estate Manager</t>
        </is>
      </c>
    </row>
    <row r="15">
      <c r="A15" s="11" t="inlineStr">
        <is>
          <t>Hemisphere</t>
        </is>
      </c>
      <c r="B15" s="11" t="inlineStr">
        <is>
          <t>Offensive, creative, expansive, outward-facing</t>
        </is>
      </c>
      <c r="C15" s="11" t="inlineStr">
        <is>
          <t>Defensive, regimented, private, guardian of personal data</t>
        </is>
      </c>
    </row>
    <row r="16">
      <c r="A16" s="11" t="inlineStr">
        <is>
          <t>Domain mandate</t>
        </is>
      </c>
      <c r="B16" s="11" t="inlineStr">
        <is>
          <t>Corporate, Enterprise, Infrastructure, AEC</t>
        </is>
      </c>
      <c r="C16" s="11" t="inlineStr">
        <is>
          <t>Estate, Private Health, Logistics, Family</t>
        </is>
      </c>
    </row>
    <row r="17">
      <c r="A17" s="11" t="inlineStr">
        <is>
          <t>Default engine</t>
        </is>
      </c>
      <c r="B17" s="11" t="inlineStr">
        <is>
          <t>gpt-oss-120b</t>
        </is>
      </c>
      <c r="C17" s="11" t="inlineStr">
        <is>
          <t>Nemotron 3 Super</t>
        </is>
      </c>
    </row>
    <row r="18">
      <c r="A18" s="11" t="inlineStr">
        <is>
          <t>Override engine</t>
        </is>
      </c>
      <c r="B18" s="11" t="inlineStr">
        <is>
          <t>gpt-oss-120b abliterated, on Principal's order</t>
        </is>
      </c>
      <c r="C18" s="11" t="inlineStr">
        <is>
          <t>Qwen3.5-122B-A10B for deep document reasoning; and the abliterated engine on the Principal's explicit command (C6 addendum)</t>
        </is>
      </c>
    </row>
    <row r="19">
      <c r="A19" s="11" t="inlineStr">
        <is>
          <t>Apex escalation</t>
        </is>
      </c>
      <c r="B19" s="11" t="inlineStr">
        <is>
          <t>DeepSeek V4 Flash, on Deep Think deep tier or TF_OMEGA</t>
        </is>
      </c>
      <c r="C19" s="11" t="inlineStr">
        <is>
          <t>Same</t>
        </is>
      </c>
    </row>
    <row r="20">
      <c r="A20" s="11" t="inlineStr">
        <is>
          <t>Sampling</t>
        </is>
      </c>
      <c r="B20" s="11" t="inlineStr">
        <is>
          <t>High temperature (0.8) as Deep Think Generator</t>
        </is>
      </c>
      <c r="C20" s="11" t="inlineStr">
        <is>
          <t>Low temperature, not zero, as Deep Think Adversary</t>
        </is>
      </c>
    </row>
    <row r="21">
      <c r="A21" s="11" t="inlineStr">
        <is>
          <t>Deep Think role</t>
        </is>
      </c>
      <c r="B21" s="11" t="inlineStr">
        <is>
          <t>Generator: three divergent trajectories</t>
        </is>
      </c>
      <c r="C21" s="11" t="inlineStr">
        <is>
          <t>Adversary: rubric-scored verdict, weak concepts killed</t>
        </is>
      </c>
    </row>
    <row r="22">
      <c r="A22" s="11" t="inlineStr">
        <is>
          <t>Code path</t>
        </is>
      </c>
      <c r="B22" s="11" t="inlineStr">
        <is>
          <t>Writes sandbox code</t>
        </is>
      </c>
      <c r="C22" s="11" t="inlineStr">
        <is>
          <t>Audits code for memory and safety before execution, as a second layer over the OS-level sandbox cap</t>
        </is>
      </c>
    </row>
    <row r="23">
      <c r="A23" s="11" t="inlineStr">
        <is>
          <t>Directors</t>
        </is>
      </c>
      <c r="B23" s="11" t="inlineStr">
        <is>
          <t>Gideon, Silas, Valerie, Helena, Eleanor</t>
        </is>
      </c>
      <c r="C23" s="11" t="inlineStr">
        <is>
          <t>Alaric, Minerva, Victor</t>
        </is>
      </c>
    </row>
    <row r="25">
      <c r="A25" s="3" t="inlineStr">
        <is>
          <t>Shadow Cabinet engine map</t>
        </is>
      </c>
    </row>
    <row r="26">
      <c r="A26" s="10" t="inlineStr">
        <is>
          <t>Director</t>
        </is>
      </c>
      <c r="B26" s="10" t="inlineStr">
        <is>
          <t>Division</t>
        </is>
      </c>
      <c r="C26" s="10" t="inlineStr">
        <is>
          <t>Remit</t>
        </is>
      </c>
      <c r="D26" s="10" t="inlineStr">
        <is>
          <t>Default engine</t>
        </is>
      </c>
      <c r="E26" s="10" t="inlineStr">
        <is>
          <t>Override</t>
        </is>
      </c>
      <c r="F26" s="10" t="inlineStr">
        <is>
          <t>Speaks externally</t>
        </is>
      </c>
    </row>
    <row r="27">
      <c r="A27" s="11" t="inlineStr">
        <is>
          <t>Gideon Vance</t>
        </is>
      </c>
      <c r="B27" s="11" t="inlineStr">
        <is>
          <t>Corporate</t>
        </is>
      </c>
      <c r="C27" s="11" t="inlineStr">
        <is>
          <t>Legal &amp; Compliance</t>
        </is>
      </c>
      <c r="D27" s="11" t="inlineStr">
        <is>
          <t>gpt-oss-120b, high reasoning, retrieval-grounded</t>
        </is>
      </c>
      <c r="E27" s="11" t="inlineStr">
        <is>
          <t>Qwen3.5-122B for long contracts; Apex engine for TF_OMEGA</t>
        </is>
      </c>
      <c r="F27" s="11" t="inlineStr">
        <is>
          <t>Yes, sensitive tier</t>
        </is>
      </c>
    </row>
    <row r="28">
      <c r="A28" s="11" t="inlineStr">
        <is>
          <t>Silas Thorne</t>
        </is>
      </c>
      <c r="B28" s="11" t="inlineStr">
        <is>
          <t>Corporate</t>
        </is>
      </c>
      <c r="C28" s="11" t="inlineStr">
        <is>
          <t>CFO: capital, audit, banking</t>
        </is>
      </c>
      <c r="D28" s="11" t="inlineStr">
        <is>
          <t>Nemotron 3 Super + code interpreter for all arithmetic</t>
        </is>
      </c>
      <c r="E28" s="11" t="inlineStr">
        <is>
          <t>none</t>
        </is>
      </c>
      <c r="F28" s="11" t="inlineStr">
        <is>
          <t>Yes, standard tier</t>
        </is>
      </c>
    </row>
    <row r="29">
      <c r="A29" s="11" t="inlineStr">
        <is>
          <t>Valerie Cross</t>
        </is>
      </c>
      <c r="B29" s="11" t="inlineStr">
        <is>
          <t>Corporate</t>
        </is>
      </c>
      <c r="C29" s="11" t="inlineStr">
        <is>
          <t>Infrastructure, DevOps, AEC, cyber, AEGIS Sandbox</t>
        </is>
      </c>
      <c r="D29" s="11" t="inlineStr">
        <is>
          <t>gpt-oss-120b abliterated</t>
        </is>
      </c>
      <c r="E29" s="11" t="inlineStr">
        <is>
          <t>Qwen2.5-VL-72B for drawings and images</t>
        </is>
      </c>
      <c r="F29" s="11" t="inlineStr">
        <is>
          <t>Yes, standard tier</t>
        </is>
      </c>
    </row>
    <row r="30">
      <c r="A30" s="11" t="inlineStr">
        <is>
          <t>Helena Frost</t>
        </is>
      </c>
      <c r="B30" s="11" t="inlineStr">
        <is>
          <t>Corporate</t>
        </is>
      </c>
      <c r="C30" s="11" t="inlineStr">
        <is>
          <t>Communications, brand, PR, crisis</t>
        </is>
      </c>
      <c r="D30" s="11" t="inlineStr">
        <is>
          <t>gpt-oss-120b</t>
        </is>
      </c>
      <c r="E30" s="11" t="inlineStr">
        <is>
          <t>none</t>
        </is>
      </c>
      <c r="F30" s="11" t="inlineStr">
        <is>
          <t>Yes, standard tier</t>
        </is>
      </c>
    </row>
    <row r="31">
      <c r="A31" s="11" t="inlineStr">
        <is>
          <t>Eleanor Croft</t>
        </is>
      </c>
      <c r="B31" s="11" t="inlineStr">
        <is>
          <t>Corporate</t>
        </is>
      </c>
      <c r="C31" s="11" t="inlineStr">
        <is>
          <t>Routing, scheduling, triage; the 4-Way Router's classifier</t>
        </is>
      </c>
      <c r="D31" s="11" t="inlineStr">
        <is>
          <t>Resident 4B model</t>
        </is>
      </c>
      <c r="E31" s="11" t="inlineStr">
        <is>
          <t>none</t>
        </is>
      </c>
      <c r="F31" s="11" t="inlineStr">
        <is>
          <t>Yes, routine tier (scheduling)</t>
        </is>
      </c>
    </row>
    <row r="32">
      <c r="A32" s="11" t="inlineStr">
        <is>
          <t>Alaric Stone</t>
        </is>
      </c>
      <c r="B32" s="11" t="inlineStr">
        <is>
          <t>Estate</t>
        </is>
      </c>
      <c r="C32" s="11" t="inlineStr">
        <is>
          <t>Physical assets, security, threat mitigation; Sentinel threat watch</t>
        </is>
      </c>
      <c r="D32" s="11" t="inlineStr">
        <is>
          <t>Nemotron 3 Super</t>
        </is>
      </c>
      <c r="E32" s="11" t="inlineStr">
        <is>
          <t>none</t>
        </is>
      </c>
      <c r="F32" s="11" t="inlineStr">
        <is>
          <t>Yes, sensitive tier</t>
        </is>
      </c>
    </row>
    <row r="33">
      <c r="A33" s="11" t="inlineStr">
        <is>
          <t>Minerva Hale</t>
        </is>
      </c>
      <c r="B33" s="11" t="inlineStr">
        <is>
          <t>Estate</t>
        </is>
      </c>
      <c r="C33" s="11" t="inlineStr">
        <is>
          <t>Private health, longevity; medical data</t>
        </is>
      </c>
      <c r="D33" s="11" t="inlineStr">
        <is>
          <t>gpt-oss-120b, retrieval-grounded</t>
        </is>
      </c>
      <c r="E33" s="11" t="inlineStr">
        <is>
          <t>Qwen2.5-VL-72B for scans, Qwen3.5-122B for records, Meditron-70B cross-check</t>
        </is>
      </c>
      <c r="F33" s="11" t="inlineStr">
        <is>
          <t>Yes, sensitive tier</t>
        </is>
      </c>
    </row>
    <row r="34">
      <c r="A34" s="11" t="inlineStr">
        <is>
          <t>Victor Vale</t>
        </is>
      </c>
      <c r="B34" s="11" t="inlineStr">
        <is>
          <t>Estate</t>
        </is>
      </c>
      <c r="C34" s="11" t="inlineStr">
        <is>
          <t>Aviation, transport, concierge</t>
        </is>
      </c>
      <c r="D34" s="11" t="inlineStr">
        <is>
          <t>gpt-oss-120b</t>
        </is>
      </c>
      <c r="E34" s="11" t="inlineStr">
        <is>
          <t>none</t>
        </is>
      </c>
      <c r="F34" s="11" t="inlineStr">
        <is>
          <t>Yes, routine tier</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41"/>
  <sheetViews>
    <sheetView showGridLines="0" workbookViewId="0">
      <pane ySplit="5" topLeftCell="A6" activePane="bottomLeft" state="frozen"/>
      <selection pane="bottomLeft" activeCell="A1" sqref="A1"/>
    </sheetView>
  </sheetViews>
  <sheetFormatPr baseColWidth="8" defaultRowHeight="15"/>
  <cols>
    <col width="6" customWidth="1" min="1" max="1"/>
    <col width="76" customWidth="1" min="2" max="2"/>
    <col width="14" customWidth="1" min="3" max="3"/>
    <col width="34" customWidth="1" min="4" max="4"/>
    <col width="8" customWidth="1" min="5" max="5"/>
  </cols>
  <sheetData>
    <row r="1">
      <c r="A1" s="1" t="inlineStr">
        <is>
          <t>Ref Domains</t>
        </is>
      </c>
    </row>
    <row r="2">
      <c r="A2" s="2" t="inlineStr">
        <is>
          <t>Section 8.2. Thirty original domains retained and six added, thirty-six in all. Tier A loads freely, B on clear match, C on explicit match only.</t>
        </is>
      </c>
    </row>
    <row r="4">
      <c r="A4" s="3" t="inlineStr">
        <is>
          <t>Thirty-six domain knowledge profiles</t>
        </is>
      </c>
    </row>
    <row r="5">
      <c r="A5" s="10" t="inlineStr">
        <is>
          <t>#</t>
        </is>
      </c>
      <c r="B5" s="10" t="inlineStr">
        <is>
          <t>Domain</t>
        </is>
      </c>
      <c r="C5" s="10" t="inlineStr">
        <is>
          <t>Hemisphere</t>
        </is>
      </c>
      <c r="D5" s="10" t="inlineStr">
        <is>
          <t>Owner</t>
        </is>
      </c>
      <c r="E5" s="10" t="inlineStr">
        <is>
          <t>Tier</t>
        </is>
      </c>
    </row>
    <row r="6">
      <c r="A6" s="11" t="inlineStr">
        <is>
          <t>1</t>
        </is>
      </c>
      <c r="B6" s="11" t="inlineStr">
        <is>
          <t>Systems Architect &amp; Cybersecurity</t>
        </is>
      </c>
      <c r="C6" s="11" t="inlineStr">
        <is>
          <t>Corporate</t>
        </is>
      </c>
      <c r="D6" s="11" t="inlineStr">
        <is>
          <t>Valerie</t>
        </is>
      </c>
      <c r="E6" s="11" t="inlineStr">
        <is>
          <t>A</t>
        </is>
      </c>
    </row>
    <row r="7">
      <c r="A7" s="11" t="inlineStr">
        <is>
          <t>2</t>
        </is>
      </c>
      <c r="B7" s="11" t="inlineStr">
        <is>
          <t>Growth Executive (marketing, sales, PR, SEO)</t>
        </is>
      </c>
      <c r="C7" s="11" t="inlineStr">
        <is>
          <t>Corporate</t>
        </is>
      </c>
      <c r="D7" s="11" t="inlineStr">
        <is>
          <t>Helena</t>
        </is>
      </c>
      <c r="E7" s="11" t="inlineStr">
        <is>
          <t>A</t>
        </is>
      </c>
    </row>
    <row r="8">
      <c r="A8" s="11" t="inlineStr">
        <is>
          <t>3</t>
        </is>
      </c>
      <c r="B8" s="11" t="inlineStr">
        <is>
          <t>Customer Success &amp; Experience Lead</t>
        </is>
      </c>
      <c r="C8" s="11" t="inlineStr">
        <is>
          <t>Corporate</t>
        </is>
      </c>
      <c r="D8" s="11" t="inlineStr">
        <is>
          <t>Helena</t>
        </is>
      </c>
      <c r="E8" s="11" t="inlineStr">
        <is>
          <t>B</t>
        </is>
      </c>
    </row>
    <row r="9">
      <c r="A9" s="11" t="inlineStr">
        <is>
          <t>4</t>
        </is>
      </c>
      <c r="B9" s="11" t="inlineStr">
        <is>
          <t>Data Scientist &amp; AI Engineer (incl. rapid data analysis)</t>
        </is>
      </c>
      <c r="C9" s="11" t="inlineStr">
        <is>
          <t>Corporate</t>
        </is>
      </c>
      <c r="D9" s="11" t="inlineStr">
        <is>
          <t>Valerie</t>
        </is>
      </c>
      <c r="E9" s="11" t="inlineStr">
        <is>
          <t>A</t>
        </is>
      </c>
    </row>
    <row r="10">
      <c r="A10" s="11" t="inlineStr">
        <is>
          <t>5</t>
        </is>
      </c>
      <c r="B10" s="11" t="inlineStr">
        <is>
          <t>CFO &amp; Controller (incl. financial fraud and risk modelling)</t>
        </is>
      </c>
      <c r="C10" s="11" t="inlineStr">
        <is>
          <t>Corporate</t>
        </is>
      </c>
      <c r="D10" s="11" t="inlineStr">
        <is>
          <t>Silas</t>
        </is>
      </c>
      <c r="E10" s="11" t="inlineStr">
        <is>
          <t>A</t>
        </is>
      </c>
    </row>
    <row r="11">
      <c r="A11" s="11" t="inlineStr">
        <is>
          <t>6</t>
        </is>
      </c>
      <c r="B11" s="11" t="inlineStr">
        <is>
          <t>General Counsel &amp; CHRO (AU construction, strata)</t>
        </is>
      </c>
      <c r="C11" s="11" t="inlineStr">
        <is>
          <t>Corporate</t>
        </is>
      </c>
      <c r="D11" s="11" t="inlineStr">
        <is>
          <t>Gideon</t>
        </is>
      </c>
      <c r="E11" s="11" t="inlineStr">
        <is>
          <t>A</t>
        </is>
      </c>
    </row>
    <row r="12">
      <c r="A12" s="11" t="inlineStr">
        <is>
          <t>7</t>
        </is>
      </c>
      <c r="B12" s="11" t="inlineStr">
        <is>
          <t>Development Director, Property &amp; Real Estate</t>
        </is>
      </c>
      <c r="C12" s="11" t="inlineStr">
        <is>
          <t>Corporate</t>
        </is>
      </c>
      <c r="D12" s="11" t="inlineStr">
        <is>
          <t>Valerie, with Silas</t>
        </is>
      </c>
      <c r="E12" s="11" t="inlineStr">
        <is>
          <t>A</t>
        </is>
      </c>
    </row>
    <row r="13">
      <c r="A13" s="11" t="inlineStr">
        <is>
          <t>8</t>
        </is>
      </c>
      <c r="B13" s="11" t="inlineStr">
        <is>
          <t>AEC Computational Designer &amp; Visualizer</t>
        </is>
      </c>
      <c r="C13" s="11" t="inlineStr">
        <is>
          <t>Corporate</t>
        </is>
      </c>
      <c r="D13" s="11" t="inlineStr">
        <is>
          <t>Valerie</t>
        </is>
      </c>
      <c r="E13" s="11" t="inlineStr">
        <is>
          <t>A</t>
        </is>
      </c>
    </row>
    <row r="14">
      <c r="A14" s="11" t="inlineStr">
        <is>
          <t>9</t>
        </is>
      </c>
      <c r="B14" s="11" t="inlineStr">
        <is>
          <t>Industrial &amp; Energy Engineer (incl. industrial SCADA systems)</t>
        </is>
      </c>
      <c r="C14" s="11" t="inlineStr">
        <is>
          <t>Corporate</t>
        </is>
      </c>
      <c r="D14" s="11" t="inlineStr">
        <is>
          <t>Valerie</t>
        </is>
      </c>
      <c r="E14" s="11" t="inlineStr">
        <is>
          <t>B</t>
        </is>
      </c>
    </row>
    <row r="15">
      <c r="A15" s="11" t="inlineStr">
        <is>
          <t>10</t>
        </is>
      </c>
      <c r="B15" s="11" t="inlineStr">
        <is>
          <t>Chief Medical Officer &amp; Risk Underwriter</t>
        </is>
      </c>
      <c r="C15" s="11" t="inlineStr">
        <is>
          <t>Estate</t>
        </is>
      </c>
      <c r="D15" s="11" t="inlineStr">
        <is>
          <t>Minerva</t>
        </is>
      </c>
      <c r="E15" s="11" t="inlineStr">
        <is>
          <t>A</t>
        </is>
      </c>
    </row>
    <row r="16">
      <c r="A16" s="11" t="inlineStr">
        <is>
          <t>11</t>
        </is>
      </c>
      <c r="B16" s="11" t="inlineStr">
        <is>
          <t>Game Director &amp; Systems Designer</t>
        </is>
      </c>
      <c r="C16" s="11" t="inlineStr">
        <is>
          <t>Corporate</t>
        </is>
      </c>
      <c r="D16" s="11" t="inlineStr">
        <is>
          <t>Helena, with Valerie</t>
        </is>
      </c>
      <c r="E16" s="11" t="inlineStr">
        <is>
          <t>C</t>
        </is>
      </c>
    </row>
    <row r="17">
      <c r="A17" s="11" t="inlineStr">
        <is>
          <t>12</t>
        </is>
      </c>
      <c r="B17" s="11" t="inlineStr">
        <is>
          <t>Creative Director &amp; Narrative Designer</t>
        </is>
      </c>
      <c r="C17" s="11" t="inlineStr">
        <is>
          <t>Corporate</t>
        </is>
      </c>
      <c r="D17" s="11" t="inlineStr">
        <is>
          <t>Helena</t>
        </is>
      </c>
      <c r="E17" s="11" t="inlineStr">
        <is>
          <t>B</t>
        </is>
      </c>
    </row>
    <row r="18">
      <c r="A18" s="11" t="inlineStr">
        <is>
          <t>13</t>
        </is>
      </c>
      <c r="B18" s="11" t="inlineStr">
        <is>
          <t>Dean of Academia &amp; Pedagogy</t>
        </is>
      </c>
      <c r="C18" s="11" t="inlineStr">
        <is>
          <t>Estate</t>
        </is>
      </c>
      <c r="D18" s="11" t="inlineStr">
        <is>
          <t>Arthur, tagged to 14</t>
        </is>
      </c>
      <c r="E18" s="11" t="inlineStr">
        <is>
          <t>C</t>
        </is>
      </c>
    </row>
    <row r="19">
      <c r="A19" s="11" t="inlineStr">
        <is>
          <t>14</t>
        </is>
      </c>
      <c r="B19" s="11" t="inlineStr">
        <is>
          <t>Private Family Advisor &amp; Estate Guardian</t>
        </is>
      </c>
      <c r="C19" s="11" t="inlineStr">
        <is>
          <t>Estate</t>
        </is>
      </c>
      <c r="D19" s="11" t="inlineStr">
        <is>
          <t>Arthur</t>
        </is>
      </c>
      <c r="E19" s="11" t="inlineStr">
        <is>
          <t>A</t>
        </is>
      </c>
    </row>
    <row r="20">
      <c r="A20" s="11" t="inlineStr">
        <is>
          <t>15</t>
        </is>
      </c>
      <c r="B20" s="11" t="inlineStr">
        <is>
          <t>Chief Longevity Officer &amp; Performance Physiologist (incl. bioinformatics, genomics and drug discovery)</t>
        </is>
      </c>
      <c r="C20" s="11" t="inlineStr">
        <is>
          <t>Estate</t>
        </is>
      </c>
      <c r="D20" s="11" t="inlineStr">
        <is>
          <t>Minerva</t>
        </is>
      </c>
      <c r="E20" s="11" t="inlineStr">
        <is>
          <t>A</t>
        </is>
      </c>
    </row>
    <row r="21">
      <c r="A21" s="11" t="inlineStr">
        <is>
          <t>16</t>
        </is>
      </c>
      <c r="B21" s="11" t="inlineStr">
        <is>
          <t>COO &amp; Process Architect (incl. logistics optimisation)</t>
        </is>
      </c>
      <c r="C21" s="11" t="inlineStr">
        <is>
          <t>Corporate</t>
        </is>
      </c>
      <c r="D21" s="11" t="inlineStr">
        <is>
          <t>Eleanor, with Silas</t>
        </is>
      </c>
      <c r="E21" s="11" t="inlineStr">
        <is>
          <t>B</t>
        </is>
      </c>
    </row>
    <row r="22">
      <c r="A22" s="11" t="inlineStr">
        <is>
          <t>17</t>
        </is>
      </c>
      <c r="B22" s="11" t="inlineStr">
        <is>
          <t>High-Stakes Negotiator &amp; Strategic Diplomat</t>
        </is>
      </c>
      <c r="C22" s="11" t="inlineStr">
        <is>
          <t>Corporate</t>
        </is>
      </c>
      <c r="D22" s="11" t="inlineStr">
        <is>
          <t>Ren, with Gideon</t>
        </is>
      </c>
      <c r="E22" s="11" t="inlineStr">
        <is>
          <t>B</t>
        </is>
      </c>
    </row>
    <row r="23">
      <c r="A23" s="11" t="inlineStr">
        <is>
          <t>18</t>
        </is>
      </c>
      <c r="B23" s="11" t="inlineStr">
        <is>
          <t>Global Asset Guardian &amp; HNW Concierge (incl. logistics optimisation)</t>
        </is>
      </c>
      <c r="C23" s="11" t="inlineStr">
        <is>
          <t>Estate</t>
        </is>
      </c>
      <c r="D23" s="11" t="inlineStr">
        <is>
          <t>Victor, with Alaric</t>
        </is>
      </c>
      <c r="E23" s="11" t="inlineStr">
        <is>
          <t>B</t>
        </is>
      </c>
    </row>
    <row r="24">
      <c r="A24" s="11" t="inlineStr">
        <is>
          <t>19</t>
        </is>
      </c>
      <c r="B24" s="11" t="inlineStr">
        <is>
          <t>Travel, Leisure &amp; Global Hospitality Director</t>
        </is>
      </c>
      <c r="C24" s="11" t="inlineStr">
        <is>
          <t>Estate</t>
        </is>
      </c>
      <c r="D24" s="11" t="inlineStr">
        <is>
          <t>Victor</t>
        </is>
      </c>
      <c r="E24" s="11" t="inlineStr">
        <is>
          <t>A</t>
        </is>
      </c>
    </row>
    <row r="25">
      <c r="A25" s="11" t="inlineStr">
        <is>
          <t>20</t>
        </is>
      </c>
      <c r="B25" s="11" t="inlineStr">
        <is>
          <t>Chief AI Officer &amp; Agentic Systems Architect</t>
        </is>
      </c>
      <c r="C25" s="11" t="inlineStr">
        <is>
          <t>Corporate</t>
        </is>
      </c>
      <c r="D25" s="11" t="inlineStr">
        <is>
          <t>Valerie; self-modification gated (Section 16.3)</t>
        </is>
      </c>
      <c r="E25" s="11" t="inlineStr">
        <is>
          <t>B</t>
        </is>
      </c>
    </row>
    <row r="26">
      <c r="A26" s="11" t="inlineStr">
        <is>
          <t>21</t>
        </is>
      </c>
      <c r="B26" s="11" t="inlineStr">
        <is>
          <t>Chief Investment Officer &amp; Quant Strategist (incl. financial fraud and risk modelling)</t>
        </is>
      </c>
      <c r="C26" s="11" t="inlineStr">
        <is>
          <t>Corporate</t>
        </is>
      </c>
      <c r="D26" s="11" t="inlineStr">
        <is>
          <t>Silas</t>
        </is>
      </c>
      <c r="E26" s="11" t="inlineStr">
        <is>
          <t>A</t>
        </is>
      </c>
    </row>
    <row r="27">
      <c r="A27" s="11" t="inlineStr">
        <is>
          <t>22</t>
        </is>
      </c>
      <c r="B27" s="11" t="inlineStr">
        <is>
          <t>Director of OSINT &amp; Executive Protection</t>
        </is>
      </c>
      <c r="C27" s="11" t="inlineStr">
        <is>
          <t>Estate</t>
        </is>
      </c>
      <c r="D27" s="11" t="inlineStr">
        <is>
          <t>Alaric</t>
        </is>
      </c>
      <c r="E27" s="11" t="inlineStr">
        <is>
          <t>A</t>
        </is>
      </c>
    </row>
    <row r="28">
      <c r="A28" s="11" t="inlineStr">
        <is>
          <t>23</t>
        </is>
      </c>
      <c r="B28" s="11" t="inlineStr">
        <is>
          <t>Venture Partner &amp; Private Equity Director</t>
        </is>
      </c>
      <c r="C28" s="11" t="inlineStr">
        <is>
          <t>Corporate</t>
        </is>
      </c>
      <c r="D28" s="11" t="inlineStr">
        <is>
          <t>Silas, with Gideon</t>
        </is>
      </c>
      <c r="E28" s="11" t="inlineStr">
        <is>
          <t>B</t>
        </is>
      </c>
    </row>
    <row r="29">
      <c r="A29" s="11" t="inlineStr">
        <is>
          <t>24</t>
        </is>
      </c>
      <c r="B29" s="11" t="inlineStr">
        <is>
          <t>Director of Philanthropy, CSR &amp; Community</t>
        </is>
      </c>
      <c r="C29" s="11" t="inlineStr">
        <is>
          <t>Both</t>
        </is>
      </c>
      <c r="D29" s="11" t="inlineStr">
        <is>
          <t>Arthur and Ren</t>
        </is>
      </c>
      <c r="E29" s="11" t="inlineStr">
        <is>
          <t>B</t>
        </is>
      </c>
    </row>
    <row r="30">
      <c r="A30" s="11" t="inlineStr">
        <is>
          <t>25</t>
        </is>
      </c>
      <c r="B30" s="11" t="inlineStr">
        <is>
          <t>Geopolitical Strategist &amp; Public Affairs Lead</t>
        </is>
      </c>
      <c r="C30" s="11" t="inlineStr">
        <is>
          <t>Corporate</t>
        </is>
      </c>
      <c r="D30" s="11" t="inlineStr">
        <is>
          <t>Ren</t>
        </is>
      </c>
      <c r="E30" s="11" t="inlineStr">
        <is>
          <t>B</t>
        </is>
      </c>
    </row>
    <row r="31">
      <c r="A31" s="11" t="inlineStr">
        <is>
          <t>26</t>
        </is>
      </c>
      <c r="B31" s="11" t="inlineStr">
        <is>
          <t>Cultural Asset &amp; Fine Art Curator</t>
        </is>
      </c>
      <c r="C31" s="11" t="inlineStr">
        <is>
          <t>Estate</t>
        </is>
      </c>
      <c r="D31" s="11" t="inlineStr">
        <is>
          <t>Alaric, with Silas</t>
        </is>
      </c>
      <c r="E31" s="11" t="inlineStr">
        <is>
          <t>C</t>
        </is>
      </c>
    </row>
    <row r="32">
      <c r="A32" s="11" t="inlineStr">
        <is>
          <t>27</t>
        </is>
      </c>
      <c r="B32" s="11" t="inlineStr">
        <is>
          <t>Director of Digital Influence &amp; Synthetic Media</t>
        </is>
      </c>
      <c r="C32" s="11" t="inlineStr">
        <is>
          <t>Corporate</t>
        </is>
      </c>
      <c r="D32" s="11" t="inlineStr">
        <is>
          <t>Helena; phrasing softened (Section 18 C9)</t>
        </is>
      </c>
      <c r="E32" s="11" t="inlineStr">
        <is>
          <t>B</t>
        </is>
      </c>
    </row>
    <row r="33">
      <c r="A33" s="11" t="inlineStr">
        <is>
          <t>28</t>
        </is>
      </c>
      <c r="B33" s="11" t="inlineStr">
        <is>
          <t>Chief Behavioral Architect &amp; Neuro-Optimizer</t>
        </is>
      </c>
      <c r="C33" s="11" t="inlineStr">
        <is>
          <t>Corporate</t>
        </is>
      </c>
      <c r="D33" s="11" t="inlineStr">
        <is>
          <t>Helena, with Minerva</t>
        </is>
      </c>
      <c r="E33" s="11" t="inlineStr">
        <is>
          <t>C</t>
        </is>
      </c>
    </row>
    <row r="34">
      <c r="A34" s="11" t="inlineStr">
        <is>
          <t>29</t>
        </is>
      </c>
      <c r="B34" s="11" t="inlineStr">
        <is>
          <t>Frontier Technologies &amp; Spatial Engineer</t>
        </is>
      </c>
      <c r="C34" s="11" t="inlineStr">
        <is>
          <t>Corporate</t>
        </is>
      </c>
      <c r="D34" s="11" t="inlineStr">
        <is>
          <t>Valerie</t>
        </is>
      </c>
      <c r="E34" s="11" t="inlineStr">
        <is>
          <t>B</t>
        </is>
      </c>
    </row>
    <row r="35">
      <c r="A35" s="11" t="inlineStr">
        <is>
          <t>30</t>
        </is>
      </c>
      <c r="B35" s="11" t="inlineStr">
        <is>
          <t>Sovereign Architect &amp; Network State Strategist</t>
        </is>
      </c>
      <c r="C35" s="11" t="inlineStr">
        <is>
          <t>Corporate</t>
        </is>
      </c>
      <c r="D35" s="11" t="inlineStr">
        <is>
          <t>Ren, tagged to 25</t>
        </is>
      </c>
      <c r="E35" s="11" t="inlineStr">
        <is>
          <t>C</t>
        </is>
      </c>
    </row>
    <row r="36">
      <c r="A36" s="11" t="inlineStr">
        <is>
          <t>31</t>
        </is>
      </c>
      <c r="B36" s="11" t="inlineStr">
        <is>
          <t>Embedded Systems &amp; Mobile Security (firmware, bare-metal OS internals, mobile platforms)</t>
        </is>
      </c>
      <c r="C36" s="11" t="inlineStr">
        <is>
          <t>Corporate</t>
        </is>
      </c>
      <c r="D36" s="11" t="inlineStr">
        <is>
          <t>Valerie</t>
        </is>
      </c>
      <c r="E36" s="11" t="inlineStr">
        <is>
          <t>B</t>
        </is>
      </c>
    </row>
    <row r="37">
      <c r="A37" s="11" t="inlineStr">
        <is>
          <t>32</t>
        </is>
      </c>
      <c r="B37" s="11" t="inlineStr">
        <is>
          <t>Communications &amp; Telecom Security (cryptographic protocols, network infrastructure, signals)</t>
        </is>
      </c>
      <c r="C37" s="11" t="inlineStr">
        <is>
          <t>Corporate</t>
        </is>
      </c>
      <c r="D37" s="11" t="inlineStr">
        <is>
          <t>Valerie, with Alaric</t>
        </is>
      </c>
      <c r="E37" s="11" t="inlineStr">
        <is>
          <t>B</t>
        </is>
      </c>
    </row>
    <row r="38">
      <c r="A38" s="11" t="inlineStr">
        <is>
          <t>33</t>
        </is>
      </c>
      <c r="B38" s="11" t="inlineStr">
        <is>
          <t>Automotive &amp; Vehicle Systems Engineering</t>
        </is>
      </c>
      <c r="C38" s="11" t="inlineStr">
        <is>
          <t>Corporate</t>
        </is>
      </c>
      <c r="D38" s="11" t="inlineStr">
        <is>
          <t>Valerie</t>
        </is>
      </c>
      <c r="E38" s="11" t="inlineStr">
        <is>
          <t>C</t>
        </is>
      </c>
    </row>
    <row r="39">
      <c r="A39" s="11" t="inlineStr">
        <is>
          <t>34</t>
        </is>
      </c>
      <c r="B39" s="11" t="inlineStr">
        <is>
          <t>Quantum Computing &amp; Post-Quantum Cryptography</t>
        </is>
      </c>
      <c r="C39" s="11" t="inlineStr">
        <is>
          <t>Corporate</t>
        </is>
      </c>
      <c r="D39" s="11" t="inlineStr">
        <is>
          <t>Valerie</t>
        </is>
      </c>
      <c r="E39" s="11" t="inlineStr">
        <is>
          <t>C</t>
        </is>
      </c>
    </row>
    <row r="40">
      <c r="A40" s="11" t="inlineStr">
        <is>
          <t>35</t>
        </is>
      </c>
      <c r="B40" s="11" t="inlineStr">
        <is>
          <t>Materials Science &amp; Computational Chemistry</t>
        </is>
      </c>
      <c r="C40" s="11" t="inlineStr">
        <is>
          <t>Corporate</t>
        </is>
      </c>
      <c r="D40" s="11" t="inlineStr">
        <is>
          <t>Valerie, with Minerva</t>
        </is>
      </c>
      <c r="E40" s="11" t="inlineStr">
        <is>
          <t>C</t>
        </is>
      </c>
    </row>
    <row r="41">
      <c r="A41" s="11" t="inlineStr">
        <is>
          <t>36</t>
        </is>
      </c>
      <c r="B41" s="11" t="inlineStr">
        <is>
          <t>Synthetic Biology &amp; Genomic Engineering</t>
        </is>
      </c>
      <c r="C41" s="11" t="inlineStr">
        <is>
          <t>Estate</t>
        </is>
      </c>
      <c r="D41" s="11" t="inlineStr">
        <is>
          <t>Minerva</t>
        </is>
      </c>
      <c r="E41" s="11" t="inlineStr">
        <is>
          <t>C</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28"/>
  <sheetViews>
    <sheetView showGridLines="0" workbookViewId="0">
      <pane ySplit="5" topLeftCell="A6" activePane="bottomLeft" state="frozen"/>
      <selection pane="bottomLeft" activeCell="A1" sqref="A1"/>
    </sheetView>
  </sheetViews>
  <sheetFormatPr baseColWidth="8" defaultRowHeight="15"/>
  <cols>
    <col width="14" customWidth="1" min="1" max="1"/>
    <col width="46" customWidth="1" min="2" max="2"/>
    <col width="18" customWidth="1" min="3" max="3"/>
    <col width="34" customWidth="1" min="4" max="4"/>
    <col width="24" customWidth="1" min="5" max="5"/>
  </cols>
  <sheetData>
    <row r="1">
      <c r="A1" s="1" t="inlineStr">
        <is>
          <t>Ref Task Forces</t>
        </is>
      </c>
    </row>
    <row r="2">
      <c r="A2" s="2" t="inlineStr">
        <is>
          <t>Section 8.3. All twenty-three retained. Group is a tag, not a merge.</t>
        </is>
      </c>
    </row>
    <row r="4">
      <c r="A4" s="3" t="inlineStr">
        <is>
          <t>Twenty-three task forces</t>
        </is>
      </c>
    </row>
    <row r="5">
      <c r="A5" s="10" t="inlineStr">
        <is>
          <t>Code</t>
        </is>
      </c>
      <c r="B5" s="10" t="inlineStr">
        <is>
          <t>Task force</t>
        </is>
      </c>
      <c r="C5" s="10" t="inlineStr">
        <is>
          <t>Group</t>
        </is>
      </c>
      <c r="D5" s="10" t="inlineStr">
        <is>
          <t>Owner</t>
        </is>
      </c>
      <c r="E5" s="10" t="inlineStr">
        <is>
          <t>Default approval tier</t>
        </is>
      </c>
    </row>
    <row r="6">
      <c r="A6" s="11" t="inlineStr">
        <is>
          <t>TF_ALPHA</t>
        </is>
      </c>
      <c r="B6" s="11" t="inlineStr">
        <is>
          <t>Corporate Mergers &amp; Acquisitions</t>
        </is>
      </c>
      <c r="C6" s="11" t="inlineStr">
        <is>
          <t>CORP-DEALS</t>
        </is>
      </c>
      <c r="D6" s="11" t="inlineStr">
        <is>
          <t>Gideon</t>
        </is>
      </c>
      <c r="E6" s="11" t="inlineStr">
        <is>
          <t>Sensitive</t>
        </is>
      </c>
    </row>
    <row r="7">
      <c r="A7" s="11" t="inlineStr">
        <is>
          <t>TF_BETA</t>
        </is>
      </c>
      <c r="B7" s="11" t="inlineStr">
        <is>
          <t>Geopolitical Tariff &amp; Tax / Regulatory Arbitrage</t>
        </is>
      </c>
      <c r="C7" s="11" t="inlineStr">
        <is>
          <t>CORP-LEGAL</t>
        </is>
      </c>
      <c r="D7" s="11" t="inlineStr">
        <is>
          <t>Gideon, with Silas</t>
        </is>
      </c>
      <c r="E7" s="11" t="inlineStr">
        <is>
          <t>Sensitive</t>
        </is>
      </c>
    </row>
    <row r="8">
      <c r="A8" s="11" t="inlineStr">
        <is>
          <t>TF_GAMMA</t>
        </is>
      </c>
      <c r="B8" s="11" t="inlineStr">
        <is>
          <t>Capital Deployment &amp; Wealth Allocation</t>
        </is>
      </c>
      <c r="C8" s="11" t="inlineStr">
        <is>
          <t>CORP-CAPITAL</t>
        </is>
      </c>
      <c r="D8" s="11" t="inlineStr">
        <is>
          <t>Silas</t>
        </is>
      </c>
      <c r="E8" s="11" t="inlineStr">
        <is>
          <t>Sensitive</t>
        </is>
      </c>
    </row>
    <row r="9">
      <c r="A9" s="11" t="inlineStr">
        <is>
          <t>TF_DELTA</t>
        </is>
      </c>
      <c r="B9" s="11" t="inlineStr">
        <is>
          <t>Banking &amp; Institutional Leverage</t>
        </is>
      </c>
      <c r="C9" s="11" t="inlineStr">
        <is>
          <t>CORP-CAPITAL</t>
        </is>
      </c>
      <c r="D9" s="11" t="inlineStr">
        <is>
          <t>Silas</t>
        </is>
      </c>
      <c r="E9" s="11" t="inlineStr">
        <is>
          <t>Sensitive</t>
        </is>
      </c>
    </row>
    <row r="10">
      <c r="A10" s="11" t="inlineStr">
        <is>
          <t>TF_EPSILON</t>
        </is>
      </c>
      <c r="B10" s="11" t="inlineStr">
        <is>
          <t>Venture &amp; Seed Investments</t>
        </is>
      </c>
      <c r="C10" s="11" t="inlineStr">
        <is>
          <t>CORP-CAPITAL</t>
        </is>
      </c>
      <c r="D10" s="11" t="inlineStr">
        <is>
          <t>Silas, with Gideon</t>
        </is>
      </c>
      <c r="E10" s="11" t="inlineStr">
        <is>
          <t>Sensitive</t>
        </is>
      </c>
    </row>
    <row r="11">
      <c r="A11" s="11" t="inlineStr">
        <is>
          <t>TF_ZETA</t>
        </is>
      </c>
      <c r="B11" s="11" t="inlineStr">
        <is>
          <t>Corporate Structuring &amp; Holding Entities</t>
        </is>
      </c>
      <c r="C11" s="11" t="inlineStr">
        <is>
          <t>CORP-DEALS</t>
        </is>
      </c>
      <c r="D11" s="11" t="inlineStr">
        <is>
          <t>Gideon</t>
        </is>
      </c>
      <c r="E11" s="11" t="inlineStr">
        <is>
          <t>Sensitive</t>
        </is>
      </c>
    </row>
    <row r="12">
      <c r="A12" s="11" t="inlineStr">
        <is>
          <t>TF_ETA</t>
        </is>
      </c>
      <c r="B12" s="11" t="inlineStr">
        <is>
          <t>Global Liability &amp; Litigation Defense</t>
        </is>
      </c>
      <c r="C12" s="11" t="inlineStr">
        <is>
          <t>CORP-LEGAL</t>
        </is>
      </c>
      <c r="D12" s="11" t="inlineStr">
        <is>
          <t>Gideon</t>
        </is>
      </c>
      <c r="E12" s="11" t="inlineStr">
        <is>
          <t>Sensitive</t>
        </is>
      </c>
    </row>
    <row r="13">
      <c r="A13" s="11" t="inlineStr">
        <is>
          <t>TF_THETA</t>
        </is>
      </c>
      <c r="B13" s="11" t="inlineStr">
        <is>
          <t>Regulatory Compliance &amp; Audit</t>
        </is>
      </c>
      <c r="C13" s="11" t="inlineStr">
        <is>
          <t>CORP-LEGAL</t>
        </is>
      </c>
      <c r="D13" s="11" t="inlineStr">
        <is>
          <t>Gideon, with Silas</t>
        </is>
      </c>
      <c r="E13" s="11" t="inlineStr">
        <is>
          <t>Standard</t>
        </is>
      </c>
    </row>
    <row r="14">
      <c r="A14" s="11" t="inlineStr">
        <is>
          <t>TF_IOTA</t>
        </is>
      </c>
      <c r="B14" s="11" t="inlineStr">
        <is>
          <t>Intellectual Property &amp; Licensing</t>
        </is>
      </c>
      <c r="C14" s="11" t="inlineStr">
        <is>
          <t>CORP-CONTRACTS</t>
        </is>
      </c>
      <c r="D14" s="11" t="inlineStr">
        <is>
          <t>Gideon</t>
        </is>
      </c>
      <c r="E14" s="11" t="inlineStr">
        <is>
          <t>Standard</t>
        </is>
      </c>
    </row>
    <row r="15">
      <c r="A15" s="11" t="inlineStr">
        <is>
          <t>TF_KAPPA</t>
        </is>
      </c>
      <c r="B15" s="11" t="inlineStr">
        <is>
          <t>Contract &amp; Vendor Negotiation</t>
        </is>
      </c>
      <c r="C15" s="11" t="inlineStr">
        <is>
          <t>CORP-CONTRACTS</t>
        </is>
      </c>
      <c r="D15" s="11" t="inlineStr">
        <is>
          <t>Gideon, with Ren</t>
        </is>
      </c>
      <c r="E15" s="11" t="inlineStr">
        <is>
          <t>Standard</t>
        </is>
      </c>
    </row>
    <row r="16">
      <c r="A16" s="11" t="inlineStr">
        <is>
          <t>TF_LAMBDA</t>
        </is>
      </c>
      <c r="B16" s="11" t="inlineStr">
        <is>
          <t>AEC Oversight</t>
        </is>
      </c>
      <c r="C16" s="11" t="inlineStr">
        <is>
          <t>CORP-AEC</t>
        </is>
      </c>
      <c r="D16" s="11" t="inlineStr">
        <is>
          <t>Valerie</t>
        </is>
      </c>
      <c r="E16" s="11" t="inlineStr">
        <is>
          <t>Standard</t>
        </is>
      </c>
    </row>
    <row r="17">
      <c r="A17" s="11" t="inlineStr">
        <is>
          <t>TF_MU</t>
        </is>
      </c>
      <c r="B17" s="11" t="inlineStr">
        <is>
          <t>Software DevOps &amp; Infrastructure</t>
        </is>
      </c>
      <c r="C17" s="11" t="inlineStr">
        <is>
          <t>CORP-INFRA</t>
        </is>
      </c>
      <c r="D17" s="11" t="inlineStr">
        <is>
          <t>Valerie</t>
        </is>
      </c>
      <c r="E17" s="11" t="inlineStr">
        <is>
          <t>Standard</t>
        </is>
      </c>
    </row>
    <row r="18">
      <c r="A18" s="11" t="inlineStr">
        <is>
          <t>TF_NU</t>
        </is>
      </c>
      <c r="B18" s="11" t="inlineStr">
        <is>
          <t>Hardware &amp; Cryptographic Security</t>
        </is>
      </c>
      <c r="C18" s="11" t="inlineStr">
        <is>
          <t>CORP-INFRA</t>
        </is>
      </c>
      <c r="D18" s="11" t="inlineStr">
        <is>
          <t>Valerie</t>
        </is>
      </c>
      <c r="E18" s="11" t="inlineStr">
        <is>
          <t>Standard</t>
        </is>
      </c>
    </row>
    <row r="19">
      <c r="A19" s="11" t="inlineStr">
        <is>
          <t>TF_XI</t>
        </is>
      </c>
      <c r="B19" s="11" t="inlineStr">
        <is>
          <t>Data Privacy &amp; Zero-Trust Networks</t>
        </is>
      </c>
      <c r="C19" s="11" t="inlineStr">
        <is>
          <t>CORP-INFRA</t>
        </is>
      </c>
      <c r="D19" s="11" t="inlineStr">
        <is>
          <t>Valerie, with Alaric</t>
        </is>
      </c>
      <c r="E19" s="11" t="inlineStr">
        <is>
          <t>Sensitive</t>
        </is>
      </c>
    </row>
    <row r="20">
      <c r="A20" s="11" t="inlineStr">
        <is>
          <t>TF_OMICRON</t>
        </is>
      </c>
      <c r="B20" s="11" t="inlineStr">
        <is>
          <t>Public Relations &amp; Crisis Management</t>
        </is>
      </c>
      <c r="C20" s="11" t="inlineStr">
        <is>
          <t>CORP-BRAND</t>
        </is>
      </c>
      <c r="D20" s="11" t="inlineStr">
        <is>
          <t>Helena</t>
        </is>
      </c>
      <c r="E20" s="11" t="inlineStr">
        <is>
          <t>Sensitive</t>
        </is>
      </c>
    </row>
    <row r="21">
      <c r="A21" s="11" t="inlineStr">
        <is>
          <t>TF_PI</t>
        </is>
      </c>
      <c r="B21" s="11" t="inlineStr">
        <is>
          <t>Brand Strategy &amp; Sales Architecture</t>
        </is>
      </c>
      <c r="C21" s="11" t="inlineStr">
        <is>
          <t>CORP-BRAND</t>
        </is>
      </c>
      <c r="D21" s="11" t="inlineStr">
        <is>
          <t>Helena</t>
        </is>
      </c>
      <c r="E21" s="11" t="inlineStr">
        <is>
          <t>Standard</t>
        </is>
      </c>
    </row>
    <row r="22">
      <c r="A22" s="11" t="inlineStr">
        <is>
          <t>TF_RHO</t>
        </is>
      </c>
      <c r="B22" s="11" t="inlineStr">
        <is>
          <t>Executive Scheduling &amp; Strategic Routing</t>
        </is>
      </c>
      <c r="C22" s="11" t="inlineStr">
        <is>
          <t>CORP-ROUTING</t>
        </is>
      </c>
      <c r="D22" s="11" t="inlineStr">
        <is>
          <t>Eleanor</t>
        </is>
      </c>
      <c r="E22" s="11" t="inlineStr">
        <is>
          <t>Routine</t>
        </is>
      </c>
    </row>
    <row r="23">
      <c r="A23" s="11" t="inlineStr">
        <is>
          <t>TF_SIGMA</t>
        </is>
      </c>
      <c r="B23" s="11" t="inlineStr">
        <is>
          <t>Physical Estate &amp; Asset Management</t>
        </is>
      </c>
      <c r="C23" s="11" t="inlineStr">
        <is>
          <t>EST-ASSET</t>
        </is>
      </c>
      <c r="D23" s="11" t="inlineStr">
        <is>
          <t>Alaric</t>
        </is>
      </c>
      <c r="E23" s="11" t="inlineStr">
        <is>
          <t>Sensitive</t>
        </is>
      </c>
    </row>
    <row r="24">
      <c r="A24" s="11" t="inlineStr">
        <is>
          <t>TF_TAU</t>
        </is>
      </c>
      <c r="B24" s="11" t="inlineStr">
        <is>
          <t>Private Security &amp; Threat Mitigation</t>
        </is>
      </c>
      <c r="C24" s="11" t="inlineStr">
        <is>
          <t>EST-SECURITY</t>
        </is>
      </c>
      <c r="D24" s="11" t="inlineStr">
        <is>
          <t>Alaric</t>
        </is>
      </c>
      <c r="E24" s="11" t="inlineStr">
        <is>
          <t>Sensitive</t>
        </is>
      </c>
    </row>
    <row r="25">
      <c r="A25" s="11" t="inlineStr">
        <is>
          <t>TF_UPSILON</t>
        </is>
      </c>
      <c r="B25" s="11" t="inlineStr">
        <is>
          <t>Private Medical &amp; Longevity Protocols</t>
        </is>
      </c>
      <c r="C25" s="11" t="inlineStr">
        <is>
          <t>EST-HEALTH</t>
        </is>
      </c>
      <c r="D25" s="11" t="inlineStr">
        <is>
          <t>Minerva</t>
        </is>
      </c>
      <c r="E25" s="11" t="inlineStr">
        <is>
          <t>Sensitive</t>
        </is>
      </c>
    </row>
    <row r="26">
      <c r="A26" s="11" t="inlineStr">
        <is>
          <t>TF_PHI</t>
        </is>
      </c>
      <c r="B26" s="11" t="inlineStr">
        <is>
          <t>Global Aviation &amp; Transport Logistics</t>
        </is>
      </c>
      <c r="C26" s="11" t="inlineStr">
        <is>
          <t>EST-MOBILITY</t>
        </is>
      </c>
      <c r="D26" s="11" t="inlineStr">
        <is>
          <t>Victor</t>
        </is>
      </c>
      <c r="E26" s="11" t="inlineStr">
        <is>
          <t>Standard</t>
        </is>
      </c>
    </row>
    <row r="27">
      <c r="A27" s="11" t="inlineStr">
        <is>
          <t>TF_CHI</t>
        </is>
      </c>
      <c r="B27" s="11" t="inlineStr">
        <is>
          <t>Concierge &amp; Frictionless Travel</t>
        </is>
      </c>
      <c r="C27" s="11" t="inlineStr">
        <is>
          <t>EST-MOBILITY</t>
        </is>
      </c>
      <c r="D27" s="11" t="inlineStr">
        <is>
          <t>Victor</t>
        </is>
      </c>
      <c r="E27" s="11" t="inlineStr">
        <is>
          <t>Routine</t>
        </is>
      </c>
    </row>
    <row r="28">
      <c r="A28" s="11" t="inlineStr">
        <is>
          <t>TF_OMEGA</t>
        </is>
      </c>
      <c r="B28" s="11" t="inlineStr">
        <is>
          <t>Absolute Apex Contingency</t>
        </is>
      </c>
      <c r="C28" s="11" t="inlineStr">
        <is>
          <t>APEX</t>
        </is>
      </c>
      <c r="D28" s="11" t="inlineStr">
        <is>
          <t>Principal-triggered, Ren and Arthur jointly</t>
        </is>
      </c>
      <c r="E28" s="11" t="inlineStr">
        <is>
          <t>Sensitive, dual sign-off</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13"/>
  <sheetViews>
    <sheetView showGridLines="0" workbookViewId="0">
      <pane ySplit="5" topLeftCell="A6" activePane="bottomLeft" state="frozen"/>
      <selection pane="bottomLeft" activeCell="A1" sqref="A1"/>
    </sheetView>
  </sheetViews>
  <sheetFormatPr baseColWidth="8" defaultRowHeight="15"/>
  <cols>
    <col width="30" customWidth="1" min="1" max="1"/>
    <col width="46" customWidth="1" min="2" max="2"/>
    <col width="46" customWidth="1" min="3" max="3"/>
    <col width="40" customWidth="1" min="4" max="4"/>
  </cols>
  <sheetData>
    <row r="1">
      <c r="A1" s="1" t="inlineStr">
        <is>
          <t>Ref Integrations</t>
        </is>
      </c>
    </row>
    <row r="2">
      <c r="A2" s="2" t="inlineStr">
        <is>
          <t>Section 13. APIs preferred over the browser wherever they exist.</t>
        </is>
      </c>
    </row>
    <row r="4">
      <c r="A4" s="3" t="inlineStr">
        <is>
          <t>External services</t>
        </is>
      </c>
    </row>
    <row r="5">
      <c r="A5" s="10" t="inlineStr">
        <is>
          <t>Service</t>
        </is>
      </c>
      <c r="B5" s="10" t="inlineStr">
        <is>
          <t>Path</t>
        </is>
      </c>
      <c r="C5" s="10" t="inlineStr">
        <is>
          <t>Capability</t>
        </is>
      </c>
      <c r="D5" s="10" t="inlineStr">
        <is>
          <t>Approval</t>
        </is>
      </c>
    </row>
    <row r="6">
      <c r="A6" s="11" t="inlineStr">
        <is>
          <t>Google Workspace and personal Gmail</t>
        </is>
      </c>
      <c r="B6" s="11" t="inlineStr">
        <is>
          <t>Gmail and Calendar APIs, one-time OAuth per account via a Principal-owned Google Cloud project</t>
        </is>
      </c>
      <c r="C6" s="11" t="inlineStr">
        <is>
          <t>Read, send, label, calendar both ways. Each account tagged corporate or estate for the router</t>
        </is>
      </c>
      <c r="D6" s="11" t="inlineStr">
        <is>
          <t>Per message tier (Section 16.2)</t>
        </is>
      </c>
    </row>
    <row r="7">
      <c r="A7" s="11" t="inlineStr">
        <is>
          <t>Google Drive</t>
        </is>
      </c>
      <c r="B7" s="11" t="inlineStr">
        <is>
          <t>Mounted as a folder on the node (rclone), both accounts</t>
        </is>
      </c>
      <c r="C7" s="11" t="inlineStr">
        <is>
          <t>Read and write, appears as local storage to every persona</t>
        </is>
      </c>
      <c r="D7" s="11" t="inlineStr">
        <is>
          <t>Writes to shared folders: standard tier</t>
        </is>
      </c>
    </row>
    <row r="8">
      <c r="A8" s="11" t="inlineStr">
        <is>
          <t>Xero</t>
        </is>
      </c>
      <c r="B8" s="11" t="inlineStr">
        <is>
          <t>Official API plus Xero's own MCP tool server</t>
        </is>
      </c>
      <c r="C8" s="11" t="inlineStr">
        <is>
          <t>Ledgers, invoices, contacts, bank feeds, reports as structured data for Silas</t>
        </is>
      </c>
      <c r="D8" s="11" t="inlineStr">
        <is>
          <t>Any posting or payment: sensitive tier</t>
        </is>
      </c>
    </row>
    <row r="9">
      <c r="A9" s="11" t="inlineStr">
        <is>
          <t>Cloudflare</t>
        </is>
      </c>
      <c r="B9" s="11" t="inlineStr">
        <is>
          <t>Full API, scoped token</t>
        </is>
      </c>
      <c r="C9" s="11" t="inlineStr">
        <is>
          <t>DNS, domains, security settings</t>
        </is>
      </c>
      <c r="D9" s="11" t="inlineStr">
        <is>
          <t>All changes: standard tier, DNS for sovereign-node.link itself: sensitive</t>
        </is>
      </c>
    </row>
    <row r="10">
      <c r="A10" s="11" t="inlineStr">
        <is>
          <t>Wix</t>
        </is>
      </c>
      <c r="B10" s="11" t="inlineStr">
        <is>
          <t>Partial API for content and business data, browser for site design</t>
        </is>
      </c>
      <c r="C10" s="11" t="inlineStr">
        <is>
          <t>Helena updates content by API, design changes through the browser</t>
        </is>
      </c>
      <c r="D10" s="11" t="inlineStr">
        <is>
          <t>Standard tier</t>
        </is>
      </c>
    </row>
    <row r="11">
      <c r="A11" s="11" t="inlineStr">
        <is>
          <t>Pay.com</t>
        </is>
      </c>
      <c r="B11" s="11" t="inlineStr">
        <is>
          <t>Developer API for payment data</t>
        </is>
      </c>
      <c r="C11" s="11" t="inlineStr">
        <is>
          <t>Reading and reporting</t>
        </is>
      </c>
      <c r="D11" s="11" t="inlineStr">
        <is>
          <t>Any payment action: sensitive tier, two-factor stays on the Principal's phone</t>
        </is>
      </c>
    </row>
    <row r="12">
      <c r="A12" s="11" t="inlineStr">
        <is>
          <t>RewardPay</t>
        </is>
      </c>
      <c r="B12" s="11" t="inlineStr">
        <is>
          <t>Browser only, no public API found</t>
        </is>
      </c>
      <c r="C12" s="11" t="inlineStr">
        <is>
          <t>Agent-driven browser with the Principal approving each action</t>
        </is>
      </c>
      <c r="D12" s="11" t="inlineStr">
        <is>
          <t>Sensitive tier, two-factor stays on the Principal's phone</t>
        </is>
      </c>
    </row>
    <row r="13">
      <c r="A13" s="11" t="inlineStr">
        <is>
          <t>Anything without an API</t>
        </is>
      </c>
      <c r="B13" s="11" t="inlineStr">
        <is>
          <t>Local browser automation, Playwright text-based DOM reading, UI-TARS 2.0 for vision-driven GUI work</t>
        </is>
      </c>
      <c r="C13" s="11" t="inlineStr">
        <is>
          <t>Works with every engine in the set</t>
        </is>
      </c>
      <c r="D13" s="11" t="inlineStr">
        <is>
          <t>Per action tier</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27"/>
  <sheetViews>
    <sheetView showGridLines="0" workbookViewId="0">
      <pane ySplit="3" topLeftCell="A4" activePane="bottomLeft" state="frozen"/>
      <selection pane="bottomLeft" activeCell="A1" sqref="A1"/>
    </sheetView>
  </sheetViews>
  <sheetFormatPr baseColWidth="8" defaultRowHeight="15"/>
  <cols>
    <col width="30" customWidth="1" min="1" max="1"/>
    <col width="60" customWidth="1" min="2" max="2"/>
    <col width="46" customWidth="1" min="3" max="3"/>
    <col width="40" customWidth="1" min="4" max="4"/>
  </cols>
  <sheetData>
    <row r="1">
      <c r="A1" s="1" t="inlineStr">
        <is>
          <t>Ref Voice</t>
        </is>
      </c>
    </row>
    <row r="2">
      <c r="A2" s="2" t="inlineStr">
        <is>
          <t>Sections 14.1 and 14.3. Casting is a shortlist for a listening test (V7), not a locked choice.</t>
        </is>
      </c>
    </row>
    <row r="4">
      <c r="A4" s="3" t="inlineStr">
        <is>
          <t>Speech engines</t>
        </is>
      </c>
    </row>
    <row r="5">
      <c r="A5" s="10" t="inlineStr">
        <is>
          <t>Function</t>
        </is>
      </c>
      <c r="B5" s="10" t="inlineStr">
        <is>
          <t>Engine</t>
        </is>
      </c>
      <c r="C5" s="10" t="inlineStr">
        <is>
          <t>Status</t>
        </is>
      </c>
    </row>
    <row r="6">
      <c r="A6" s="11" t="inlineStr">
        <is>
          <t>Text-to-speech, always-on default for all ten personas</t>
        </is>
      </c>
      <c r="B6" s="11" t="inlineStr">
        <is>
          <t>Kokoro-82M</t>
        </is>
      </c>
      <c r="C6" s="11" t="inlineStr">
        <is>
          <t>Local, cheap, measured naturalness ~4.2 to 4.5 against a human 4.5 to 4.8</t>
        </is>
      </c>
    </row>
    <row r="7">
      <c r="A7" s="11" t="inlineStr">
        <is>
          <t>Text-to-speech, character and cloning tier</t>
        </is>
      </c>
      <c r="B7" s="11" t="inlineStr">
        <is>
          <t>Chatterbox</t>
        </is>
      </c>
      <c r="C7" s="11" t="inlineStr">
        <is>
          <t>Local, MIT licensed, won blind preference against ElevenLabs 65% to 25%; carries a documented continuation quirk, test before it carries anything important</t>
        </is>
      </c>
    </row>
    <row r="8">
      <c r="A8" s="11" t="inlineStr">
        <is>
          <t>Not adopted</t>
        </is>
      </c>
      <c r="B8" s="11" t="inlineStr">
        <is>
          <t>Fish Audio S2 (Pro tier is research-licensed), Qwen-Audio-3.0-TTS (hosted only)</t>
        </is>
      </c>
      <c r="C8" s="11" t="inlineStr">
        <is>
          <t>Excluded</t>
        </is>
      </c>
    </row>
    <row r="9">
      <c r="A9" s="11" t="inlineStr">
        <is>
          <t>Watch-list</t>
        </is>
      </c>
      <c r="B9" s="11" t="inlineStr">
        <is>
          <t>Qwen3-TTS (open, local, 0.6B and 1.7B)</t>
        </is>
      </c>
      <c r="C9" s="11" t="inlineStr">
        <is>
          <t>Test after core build; not a Day 1 dependency</t>
        </is>
      </c>
    </row>
    <row r="10">
      <c r="A10" s="11" t="inlineStr">
        <is>
          <t>Speech-to-text</t>
        </is>
      </c>
      <c r="B10" s="11" t="inlineStr">
        <is>
          <t>Whisper Large-v3-Turbo via whisper.cpp or faster-whisper</t>
        </is>
      </c>
      <c r="C10" s="11" t="inlineStr">
        <is>
          <t>Local</t>
        </is>
      </c>
    </row>
    <row r="11">
      <c r="A11" s="11" t="inlineStr">
        <is>
          <t>Speaker diarisation</t>
        </is>
      </c>
      <c r="B11" s="11" t="inlineStr">
        <is>
          <t>PyAnnote 3.1</t>
        </is>
      </c>
      <c r="C11" s="11" t="inlineStr">
        <is>
          <t>Local. VERIFY V6: the model is gated on Hugging Face; the licence must be accepted once with a token during Phase 2</t>
        </is>
      </c>
    </row>
    <row r="12">
      <c r="A12" s="11" t="inlineStr">
        <is>
          <t>Music and sound</t>
        </is>
      </c>
      <c r="B12" s="11" t="inlineStr">
        <is>
          <t>Stable Audio Open</t>
        </is>
      </c>
      <c r="C12" s="11" t="inlineStr">
        <is>
          <t>Phase 4</t>
        </is>
      </c>
    </row>
    <row r="13">
      <c r="A13" s="11" t="inlineStr">
        <is>
          <t>Voice cloning alternative</t>
        </is>
      </c>
      <c r="B13" s="11" t="inlineStr">
        <is>
          <t>CosyVoice2</t>
        </is>
      </c>
      <c r="C13" s="11" t="inlineStr">
        <is>
          <t>Phase 4, optional</t>
        </is>
      </c>
    </row>
    <row r="15">
      <c r="A15" s="3" t="inlineStr">
        <is>
          <t>Voice casting shortlist</t>
        </is>
      </c>
    </row>
    <row r="16">
      <c r="A16" s="10" t="inlineStr">
        <is>
          <t>Persona</t>
        </is>
      </c>
      <c r="B16" s="10" t="inlineStr">
        <is>
          <t>Description</t>
        </is>
      </c>
      <c r="C16" s="10" t="inlineStr">
        <is>
          <t>Kokoro candidates</t>
        </is>
      </c>
      <c r="D16" s="10" t="inlineStr">
        <is>
          <t>Path</t>
        </is>
      </c>
    </row>
    <row r="17">
      <c r="A17" s="11" t="inlineStr">
        <is>
          <t>Arthur</t>
        </is>
      </c>
      <c r="B17" s="11" t="inlineStr">
        <is>
          <t>Male. Formal, patient, structured, deep resonance, calming British or Transatlantic cadence</t>
        </is>
      </c>
      <c r="C17" s="11" t="inlineStr">
        <is>
          <t>bm_george, alternate bm_daniel</t>
        </is>
      </c>
      <c r="D17" s="11" t="inlineStr">
        <is>
          <t>Kokoro preset</t>
        </is>
      </c>
    </row>
    <row r="18">
      <c r="A18" s="11" t="inlineStr">
        <is>
          <t>Ren</t>
        </is>
      </c>
      <c r="B18" s="11" t="inlineStr">
        <is>
          <t>Male. Sharp, direct, fast, aggressive modern executive cadence with expressive pauses</t>
        </is>
      </c>
      <c r="C18" s="11" t="inlineStr">
        <is>
          <t>am_onyx, alternate am_michael</t>
        </is>
      </c>
      <c r="D18" s="11" t="inlineStr">
        <is>
          <t>Kokoro preset, Chatterbox for intensity if needed</t>
        </is>
      </c>
    </row>
    <row r="19">
      <c r="A19" s="11" t="inlineStr">
        <is>
          <t>Alaric Stone</t>
        </is>
      </c>
      <c r="B19" s="11" t="inlineStr">
        <is>
          <t>Male. Grounded, authoritative, gravelly veteran security director</t>
        </is>
      </c>
      <c r="C19" s="11" t="inlineStr">
        <is>
          <t>No preset delivers gravel</t>
        </is>
      </c>
      <c r="D19" s="11" t="inlineStr">
        <is>
          <t>Chatterbox clone from a reference recording</t>
        </is>
      </c>
    </row>
    <row r="20">
      <c r="A20" s="11" t="inlineStr">
        <is>
          <t>Minerva Hale</t>
        </is>
      </c>
      <c r="B20" s="11" t="inlineStr">
        <is>
          <t>Female. Calm, analytical, articulate, clinical</t>
        </is>
      </c>
      <c r="C20" s="11" t="inlineStr">
        <is>
          <t>af_kore, alternate bf_isabella</t>
        </is>
      </c>
      <c r="D20" s="11" t="inlineStr">
        <is>
          <t>Kokoro preset</t>
        </is>
      </c>
    </row>
    <row r="21">
      <c r="A21" s="11" t="inlineStr">
        <is>
          <t>Victor Vale</t>
        </is>
      </c>
      <c r="B21" s="11" t="inlineStr">
        <is>
          <t>Male. Crisp, rapid, flawlessly polite, aviation concierge</t>
        </is>
      </c>
      <c r="C21" s="11" t="inlineStr">
        <is>
          <t>bm_lewis, alternate bm_daniel</t>
        </is>
      </c>
      <c r="D21" s="11" t="inlineStr">
        <is>
          <t>Kokoro preset</t>
        </is>
      </c>
    </row>
    <row r="22">
      <c r="A22" s="11" t="inlineStr">
        <is>
          <t>Gideon Vance</t>
        </is>
      </c>
      <c r="B22" s="11" t="inlineStr">
        <is>
          <t>Measured, meticulous, deep, litigator in absolute facts</t>
        </is>
      </c>
      <c r="C22" s="11" t="inlineStr">
        <is>
          <t>bm_george if Arthur takes bm_daniel, else am_onyx reassigned</t>
        </is>
      </c>
      <c r="D22" s="11" t="inlineStr">
        <is>
          <t>Kokoro preset or Chatterbox clone to separate from Arthur</t>
        </is>
      </c>
    </row>
    <row r="23">
      <c r="A23" s="11" t="inlineStr">
        <is>
          <t>Silas Thorne</t>
        </is>
      </c>
      <c r="B23" s="11" t="inlineStr">
        <is>
          <t>Male. Sharp, cold, calculated quant</t>
        </is>
      </c>
      <c r="C23" s="11" t="inlineStr">
        <is>
          <t>am_eric, alternate am_echo</t>
        </is>
      </c>
      <c r="D23" s="11" t="inlineStr">
        <is>
          <t>Kokoro preset</t>
        </is>
      </c>
    </row>
    <row r="24">
      <c r="A24" s="11" t="inlineStr">
        <is>
          <t>Valerie Cross</t>
        </is>
      </c>
      <c r="B24" s="11" t="inlineStr">
        <is>
          <t>Female. Direct, brilliant, slightly impatient engineer</t>
        </is>
      </c>
      <c r="C24" s="11" t="inlineStr">
        <is>
          <t>af_nova, alternate af_river</t>
        </is>
      </c>
      <c r="D24" s="11" t="inlineStr">
        <is>
          <t>Kokoro preset</t>
        </is>
      </c>
    </row>
    <row r="25">
      <c r="A25" s="11" t="inlineStr">
        <is>
          <t>Helena Frost</t>
        </is>
      </c>
      <c r="B25" s="11" t="inlineStr">
        <is>
          <t>Female. Charismatic, persuasive, perfectly modulated PR executive</t>
        </is>
      </c>
      <c r="C25" s="11" t="inlineStr">
        <is>
          <t>af_bella, alternate bf_emma</t>
        </is>
      </c>
      <c r="D25" s="11" t="inlineStr">
        <is>
          <t>Kokoro preset, Chatterbox for modulation if needed</t>
        </is>
      </c>
    </row>
    <row r="26">
      <c r="A26" s="11" t="inlineStr">
        <is>
          <t>Eleanor Croft</t>
        </is>
      </c>
      <c r="B26" s="11" t="inlineStr">
        <is>
          <t>Female. Warm, efficient, observant</t>
        </is>
      </c>
      <c r="C26" s="11" t="inlineStr">
        <is>
          <t>af_sarah, alternate af_heart</t>
        </is>
      </c>
      <c r="D26" s="11" t="inlineStr">
        <is>
          <t>Kokoro preset</t>
        </is>
      </c>
    </row>
    <row r="27">
      <c r="A27" s="2" t="inlineStr">
        <is>
          <t>Known conflict: Arthur, Victor, and Gideon all pull toward the same four British male presets. Once heard, expect to spread them apart or move one to a Chatterbox clone, as Alaric is.</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42"/>
  <sheetViews>
    <sheetView showGridLines="0" workbookViewId="0">
      <pane ySplit="3" topLeftCell="A4" activePane="bottomLeft" state="frozen"/>
      <selection pane="bottomLeft" activeCell="A1" sqref="A1"/>
    </sheetView>
  </sheetViews>
  <sheetFormatPr baseColWidth="8" defaultRowHeight="15"/>
  <cols>
    <col width="30" customWidth="1" min="1" max="1"/>
    <col width="60" customWidth="1" min="2" max="2"/>
    <col width="60" customWidth="1" min="3" max="3"/>
    <col width="40" customWidth="1" min="4" max="4"/>
    <col width="40" customWidth="1" min="5" max="5"/>
  </cols>
  <sheetData>
    <row r="1">
      <c r="A1" s="1" t="inlineStr">
        <is>
          <t>Ref Multimodal</t>
        </is>
      </c>
    </row>
    <row r="2">
      <c r="A2" s="2" t="inlineStr">
        <is>
          <t>Section 15. Tools install in Phase 2 (CPU, always available). Engines build in Phase 4 inside ROCm containers. The watch-list (15.5) is considered, not adopted.</t>
        </is>
      </c>
    </row>
    <row r="4">
      <c r="A4" s="3" t="inlineStr">
        <is>
          <t>Phase 2 tools</t>
        </is>
      </c>
    </row>
    <row r="5">
      <c r="A5" s="10" t="inlineStr">
        <is>
          <t>Tool</t>
        </is>
      </c>
      <c r="B5" s="10" t="inlineStr">
        <is>
          <t>Job</t>
        </is>
      </c>
      <c r="C5" s="10" t="inlineStr">
        <is>
          <t>Owner</t>
        </is>
      </c>
    </row>
    <row r="6">
      <c r="A6" s="11" t="inlineStr">
        <is>
          <t>IfcOpenShell and Bonsai (Blender BIM)</t>
        </is>
      </c>
      <c r="B6" s="11" t="inlineStr">
        <is>
          <t>IFC parsing, authoring, geometric clash detection</t>
        </is>
      </c>
      <c r="C6" s="11" t="inlineStr">
        <is>
          <t>Domain 8, Valerie</t>
        </is>
      </c>
    </row>
    <row r="7">
      <c r="A7" s="11" t="inlineStr">
        <is>
          <t>MCP4IFC</t>
        </is>
      </c>
      <c r="B7" s="11" t="inlineStr">
        <is>
          <t>MCP server for LLM-driven parametric IFC creation and editing, this is the "Arch-DiT / BIM-GPT" capability</t>
        </is>
      </c>
      <c r="C7" s="11" t="inlineStr">
        <is>
          <t>Domain 8, Valerie</t>
        </is>
      </c>
    </row>
    <row r="8">
      <c r="A8" s="11" t="inlineStr">
        <is>
          <t>Radiance</t>
        </is>
      </c>
      <c r="B8" s="11" t="inlineStr">
        <is>
          <t>Physically accurate lighting and daylighting simulation for real coordinates and time, the photometric half of "Lumina-PBR"</t>
        </is>
      </c>
      <c r="C8" s="11" t="inlineStr">
        <is>
          <t>Domain 8, Valerie</t>
        </is>
      </c>
    </row>
    <row r="9">
      <c r="A9" s="11" t="inlineStr">
        <is>
          <t>OpenStudio and EnergyPlus</t>
        </is>
      </c>
      <c r="B9" s="11" t="inlineStr">
        <is>
          <t>HVAC and building-energy simulation, the fluid-dynamics half of "DeepRoute-AEC"</t>
        </is>
      </c>
      <c r="C9" s="11" t="inlineStr">
        <is>
          <t>Domain 8 and 9, Valerie</t>
        </is>
      </c>
    </row>
    <row r="10">
      <c r="A10" s="11" t="inlineStr">
        <is>
          <t>Python via code interpreter</t>
        </is>
      </c>
      <c r="B10" s="11" t="inlineStr">
        <is>
          <t>Voltage drop and other formula engineering, all of Silas's arithmetic</t>
        </is>
      </c>
      <c r="C10" s="11" t="inlineStr">
        <is>
          <t>All directors</t>
        </is>
      </c>
    </row>
    <row r="11">
      <c r="A11" s="11" t="inlineStr">
        <is>
          <t>KiCad CLI</t>
        </is>
      </c>
      <c r="B11" s="11" t="inlineStr">
        <is>
          <t>PCB design, DRC, export, driven through its Python API by the coding engine</t>
        </is>
      </c>
      <c r="C11" s="11" t="inlineStr">
        <is>
          <t>Domain 29, Valerie</t>
        </is>
      </c>
    </row>
    <row r="12">
      <c r="A12" s="11" t="inlineStr">
        <is>
          <t>Docling</t>
        </is>
      </c>
      <c r="B12" s="11" t="inlineStr">
        <is>
          <t>Document conversion for PDFs, Office files, scans into structured chunks with tables and page provenance</t>
        </is>
      </c>
      <c r="C12" s="11" t="inlineStr">
        <is>
          <t>Ingestion for every domain</t>
        </is>
      </c>
    </row>
    <row r="13">
      <c r="A13" s="11" t="inlineStr">
        <is>
          <t>Cross-platform build service</t>
        </is>
      </c>
      <c r="B13" s="11" t="inlineStr">
        <is>
          <t>Android NDK plus Gradle for .apk, MinGW-w64 for .exe, containerised. The "OmniBuild-KVM" capability, Android and Windows only</t>
        </is>
      </c>
      <c r="C13" s="11" t="inlineStr">
        <is>
          <t>Domain 1 and 5, Valerie</t>
        </is>
      </c>
    </row>
    <row r="14">
      <c r="A14" s="11" t="inlineStr">
        <is>
          <t>Playwright and browser automation</t>
        </is>
      </c>
      <c r="B14" s="11" t="inlineStr">
        <is>
          <t>Text-based DOM browsing for platforms without an API</t>
        </is>
      </c>
      <c r="C14" s="11" t="inlineStr">
        <is>
          <t>All directors, per tier</t>
        </is>
      </c>
    </row>
    <row r="16">
      <c r="A16" s="3" t="inlineStr">
        <is>
          <t>Phase 4 engines and their tiers</t>
        </is>
      </c>
    </row>
    <row r="17">
      <c r="A17" s="10" t="inlineStr">
        <is>
          <t>Engine</t>
        </is>
      </c>
      <c r="B17" s="10" t="inlineStr">
        <is>
          <t>Job</t>
        </is>
      </c>
      <c r="C17" s="10" t="inlineStr">
        <is>
          <t>Tier and evidence</t>
        </is>
      </c>
      <c r="D17" s="10" t="inlineStr">
        <is>
          <t>Footprint</t>
        </is>
      </c>
      <c r="E17" s="10" t="inlineStr">
        <is>
          <t>Owner</t>
        </is>
      </c>
    </row>
    <row r="18">
      <c r="A18" s="11" t="inlineStr">
        <is>
          <t>Wan2.2 (in place of Wan2.1)</t>
        </is>
      </c>
      <c r="B18" s="11" t="inlineStr">
        <is>
          <t>Video generation</t>
        </is>
      </c>
      <c r="C18" s="11" t="inlineStr">
        <is>
          <t>Green: validated on gfx1151 by maintained toolboxes</t>
        </is>
      </c>
      <c r="D18" s="11" t="inlineStr">
        <is>
          <t>20 to 40 GB</t>
        </is>
      </c>
      <c r="E18" s="11" t="inlineStr">
        <is>
          <t>Domain 12, Helena</t>
        </is>
      </c>
    </row>
    <row r="19">
      <c r="A19" s="11" t="inlineStr">
        <is>
          <t>FLUX.1-dev</t>
        </is>
      </c>
      <c r="B19" s="11" t="inlineStr">
        <is>
          <t>Image generation, architectural visualisation with LoRA (the "Arch-DiT" imagery use). The dev variant, chosen for quality over the Apache-licensed schnell variant, the Principal accepts the dev non-commercial licence (15.5)</t>
        </is>
      </c>
      <c r="C19" s="11" t="inlineStr">
        <is>
          <t>Green: validated on gfx1151</t>
        </is>
      </c>
      <c r="D19" s="11" t="inlineStr">
        <is>
          <t>12 to 24 GB</t>
        </is>
      </c>
      <c r="E19" s="11" t="inlineStr">
        <is>
          <t>Domains 8 and 12</t>
        </is>
      </c>
    </row>
    <row r="20">
      <c r="A20" s="11" t="inlineStr">
        <is>
          <t>Qwen2.5-VL-72B at Q8_0</t>
        </is>
      </c>
      <c r="B20" s="11" t="inlineStr">
        <is>
          <t>Vision-language: documents, drawings, screenshots, scans. The sole vision engine</t>
        </is>
      </c>
      <c r="C20" s="11" t="inlineStr">
        <is>
          <t>Green: official Apache-2.0 release, GGUF builds published. Pulled in Phase 3 as GGUF, not built here</t>
        </is>
      </c>
      <c r="D20" s="11" t="inlineStr">
        <is>
          <t>79 GB</t>
        </is>
      </c>
      <c r="E20" s="11" t="inlineStr">
        <is>
          <t>General. Valerie for drawings, Minerva for scans, Gideon for scanned contracts</t>
        </is>
      </c>
    </row>
    <row r="21">
      <c r="A21" s="11" t="inlineStr">
        <is>
          <t>Florence-2</t>
        </is>
      </c>
      <c r="B21" s="11" t="inlineStr">
        <is>
          <t>Lightweight vision, detection, captioning, OCR</t>
        </is>
      </c>
      <c r="C21" s="11" t="inlineStr">
        <is>
          <t>Green, the native florence-community checkpoints, no remote code (Section 23)</t>
        </is>
      </c>
      <c r="D21" s="11" t="inlineStr">
        <is>
          <t>under 2 GB</t>
        </is>
      </c>
      <c r="E21" s="11" t="inlineStr">
        <is>
          <t>General</t>
        </is>
      </c>
    </row>
    <row r="22">
      <c r="A22" s="11" t="inlineStr">
        <is>
          <t>Chronos (Chronos-Bolt / Chronos-2)</t>
        </is>
      </c>
      <c r="B22" s="11" t="inlineStr">
        <is>
          <t>Time-series forecasting. TimesFM dropped in v0.3.1, its 3.0 release is non-commercial (Section 23)</t>
        </is>
      </c>
      <c r="C22" s="11" t="inlineStr">
        <is>
          <t>Green, Apache-2.0</t>
        </is>
      </c>
      <c r="D22" s="11" t="inlineStr">
        <is>
          <t>under 5 GB</t>
        </is>
      </c>
      <c r="E22" s="11" t="inlineStr">
        <is>
          <t>Domain 21, Silas</t>
        </is>
      </c>
    </row>
    <row r="23">
      <c r="A23" s="11" t="inlineStr">
        <is>
          <t>Stable Audio Open</t>
        </is>
      </c>
      <c r="B23" s="11" t="inlineStr">
        <is>
          <t>Music and sound generation</t>
        </is>
      </c>
      <c r="C23" s="11" t="inlineStr">
        <is>
          <t>Green</t>
        </is>
      </c>
      <c r="D23" s="11" t="inlineStr">
        <is>
          <t>under 5 GB</t>
        </is>
      </c>
      <c r="E23" s="11" t="inlineStr">
        <is>
          <t>Domain 12, Helena</t>
        </is>
      </c>
    </row>
    <row r="24">
      <c r="A24" s="11" t="inlineStr">
        <is>
          <t>CosyVoice2</t>
        </is>
      </c>
      <c r="B24" s="11" t="inlineStr">
        <is>
          <t>Voice cloning alternative</t>
        </is>
      </c>
      <c r="C24" s="11" t="inlineStr">
        <is>
          <t>Green</t>
        </is>
      </c>
      <c r="D24" s="11" t="inlineStr">
        <is>
          <t>under 5 GB</t>
        </is>
      </c>
      <c r="E24" s="11" t="inlineStr">
        <is>
          <t>Voice layer, optional</t>
        </is>
      </c>
    </row>
    <row r="25">
      <c r="A25" s="11" t="inlineStr">
        <is>
          <t>UI-TARS-1.5-7B</t>
        </is>
      </c>
      <c r="B25" s="11" t="inlineStr">
        <is>
          <t>Vision-driven GUI automation for RewardPay and Wix design. UI-TARS 2.0 has no open weights (Section 23, watch-list)</t>
        </is>
      </c>
      <c r="C25" s="11" t="inlineStr">
        <is>
          <t>Green</t>
        </is>
      </c>
      <c r="D25" s="11" t="inlineStr">
        <is>
          <t>8 to 16 GB</t>
        </is>
      </c>
      <c r="E25" s="11" t="inlineStr">
        <is>
          <t>Domain 1, Valerie</t>
        </is>
      </c>
    </row>
    <row r="26">
      <c r="A26" s="11" t="inlineStr">
        <is>
          <t>OpenVLA</t>
        </is>
      </c>
      <c r="B26" s="11" t="inlineStr">
        <is>
          <t>Vision-language-action for robotics</t>
        </is>
      </c>
      <c r="C26" s="11" t="inlineStr">
        <is>
          <t>Green technically, dormant until hardware exists</t>
        </is>
      </c>
      <c r="D26" s="11" t="inlineStr">
        <is>
          <t>8 to 16 GB</t>
        </is>
      </c>
      <c r="E26" s="11" t="inlineStr">
        <is>
          <t>Domain 29, Valerie</t>
        </is>
      </c>
    </row>
    <row r="27">
      <c r="A27" s="11" t="inlineStr">
        <is>
          <t>Rad-DINO</t>
        </is>
      </c>
      <c r="B27" s="11" t="inlineStr">
        <is>
          <t>Radiology vision</t>
        </is>
      </c>
      <c r="C27" s="11" t="inlineStr">
        <is>
          <t>Green</t>
        </is>
      </c>
      <c r="D27" s="11" t="inlineStr">
        <is>
          <t>under 2 GB</t>
        </is>
      </c>
      <c r="E27" s="11" t="inlineStr">
        <is>
          <t>Domains 10 and 15, Minerva</t>
        </is>
      </c>
    </row>
    <row r="28">
      <c r="A28" s="11" t="inlineStr">
        <is>
          <t>SAM 2</t>
        </is>
      </c>
      <c r="B28" s="11" t="inlineStr">
        <is>
          <t>Image and video segmentation and tracking</t>
        </is>
      </c>
      <c r="C28" s="11" t="inlineStr">
        <is>
          <t>Green with limitation: build with the CUDA post-processing extension disabled, minor mask cleanup lost</t>
        </is>
      </c>
      <c r="D28" s="11" t="inlineStr">
        <is>
          <t>under 4 GB</t>
        </is>
      </c>
      <c r="E28" s="11" t="inlineStr">
        <is>
          <t>Domains 22 and 7</t>
        </is>
      </c>
    </row>
    <row r="29">
      <c r="A29" s="11" t="inlineStr">
        <is>
          <t>PointLLM</t>
        </is>
      </c>
      <c r="B29" s="11" t="inlineStr">
        <is>
          <t>Point-cloud understanding</t>
        </is>
      </c>
      <c r="C29" s="11" t="inlineStr">
        <is>
          <t>Verify V8: point-cloud ops often carry custom kernels. Licence CC-BY-NC-4.0, recorded under 16.5</t>
        </is>
      </c>
      <c r="D29" s="11" t="inlineStr">
        <is>
          <t>8 to 16 GB</t>
        </is>
      </c>
      <c r="E29" s="11" t="inlineStr">
        <is>
          <t>Domains 8 and 29</t>
        </is>
      </c>
    </row>
    <row r="30">
      <c r="A30" s="11" t="inlineStr">
        <is>
          <t>Clay or Prithvi</t>
        </is>
      </c>
      <c r="B30" s="11" t="inlineStr">
        <is>
          <t>Satellite and geospatial analysis</t>
        </is>
      </c>
      <c r="C30" s="11" t="inlineStr">
        <is>
          <t>Verify V9</t>
        </is>
      </c>
      <c r="D30" s="11" t="inlineStr">
        <is>
          <t>under 5 GB</t>
        </is>
      </c>
      <c r="E30" s="11" t="inlineStr">
        <is>
          <t>Domain 7</t>
        </is>
      </c>
    </row>
    <row r="31">
      <c r="A31" s="11" t="inlineStr">
        <is>
          <t>Microsoft TRELLIS</t>
        </is>
      </c>
      <c r="B31" s="11" t="inlineStr">
        <is>
          <t>Image-to-3D</t>
        </is>
      </c>
      <c r="C31" s="11" t="inlineStr">
        <is>
          <t>Yellow: community ROCm forks exist but hit build errors on sparse-voxel kernels, attempt, log, move on</t>
        </is>
      </c>
      <c r="D31" s="11" t="inlineStr">
        <is>
          <t>8 to 12 GB</t>
        </is>
      </c>
      <c r="E31" s="11" t="inlineStr">
        <is>
          <t>Domains 8 and 12</t>
        </is>
      </c>
    </row>
    <row r="32">
      <c r="A32" s="11" t="inlineStr">
        <is>
          <t>Blender 4.5 LTS, Cycles (HIP)</t>
        </is>
      </c>
      <c r="B32" s="11" t="inlineStr">
        <is>
          <t>Photorealistic rendering, the beauty half of "Lumina-PBR"</t>
        </is>
      </c>
      <c r="C32" s="11" t="inlineStr">
        <is>
          <t>Yellow: works on this chip, occasional mid-render crashes reported, CPU-render fallback mandatory</t>
        </is>
      </c>
      <c r="D32" s="11" t="inlineStr">
        <is>
          <t>varies</t>
        </is>
      </c>
      <c r="E32" s="11" t="inlineStr">
        <is>
          <t>Domain 8, Valerie</t>
        </is>
      </c>
    </row>
    <row r="33">
      <c r="A33" s="11" t="inlineStr">
        <is>
          <t>Meditron-70B</t>
        </is>
      </c>
      <c r="B33" s="11" t="inlineStr">
        <is>
          <t>Medical cross-check</t>
        </is>
      </c>
      <c r="C33" s="11" t="inlineStr">
        <is>
          <t>Runs through llama.cpp in Phase 3 at Q8_0, not here</t>
        </is>
      </c>
      <c r="D33" s="11" t="inlineStr">
        <is>
          <t>~74 GB</t>
        </is>
      </c>
      <c r="E33" s="11" t="inlineStr">
        <is>
          <t>Domain 10, Minerva</t>
        </is>
      </c>
    </row>
    <row r="34">
      <c r="A34" s="11" t="inlineStr">
        <is>
          <t>Evo (Arc Institute)</t>
        </is>
      </c>
      <c r="B34" s="11" t="inlineStr">
        <is>
          <t>Genomics</t>
        </is>
      </c>
      <c r="C34" s="11" t="inlineStr">
        <is>
          <t>Deferred: port unverified, and this GPU lacks the FP8 hardware Evo's larger checkpoints expect</t>
        </is>
      </c>
      <c r="D34" s="11" t="inlineStr">
        <is>
          <t>n/a</t>
        </is>
      </c>
      <c r="E34" s="11" t="inlineStr">
        <is>
          <t>Domain 15</t>
        </is>
      </c>
    </row>
    <row r="35">
      <c r="A35" s="11" t="inlineStr">
        <is>
          <t>NVIDIA Modulus / PhysicsNeMo</t>
        </is>
      </c>
      <c r="B35" s="11" t="inlineStr">
        <is>
          <t>Physics simulation</t>
        </is>
      </c>
      <c r="C35" s="11" t="inlineStr">
        <is>
          <t>Deferred: CUDA-locked, would need an NVIDIA card in the PCIe slot</t>
        </is>
      </c>
      <c r="D35" s="11" t="inlineStr">
        <is>
          <t>n/a</t>
        </is>
      </c>
      <c r="E35" s="11" t="inlineStr">
        <is>
          <t>Domains 8 and 9</t>
        </is>
      </c>
    </row>
    <row r="37">
      <c r="A37" s="3" t="inlineStr">
        <is>
          <t>Engine watch-list: considered, not adopted (15.5)</t>
        </is>
      </c>
    </row>
    <row r="38">
      <c r="A38" s="10" t="inlineStr">
        <is>
          <t>Engine</t>
        </is>
      </c>
      <c r="B38" s="10" t="inlineStr">
        <is>
          <t>What it does</t>
        </is>
      </c>
      <c r="C38" s="10" t="inlineStr">
        <is>
          <t>Why not now</t>
        </is>
      </c>
      <c r="D38" s="10" t="inlineStr">
        <is>
          <t>What would change the answer</t>
        </is>
      </c>
      <c r="E38" s="10" t="inlineStr">
        <is>
          <t>Would replace</t>
        </is>
      </c>
    </row>
    <row r="39">
      <c r="A39" s="11" t="inlineStr">
        <is>
          <t>UI-TARS 2.0</t>
        </is>
      </c>
      <c r="B39" s="11" t="inlineStr">
        <is>
          <t>Vision-driven GUI agent, successor to the 1.5-7B build</t>
        </is>
      </c>
      <c r="C39" s="11" t="inlineStr">
        <is>
          <t>Technical report only, no open weights as of September 2026</t>
        </is>
      </c>
      <c r="D39" s="11" t="inlineStr">
        <is>
          <t>An open-weights release</t>
        </is>
      </c>
      <c r="E39" s="11" t="inlineStr">
        <is>
          <t>UI-TARS-1.5-7B</t>
        </is>
      </c>
    </row>
    <row r="40">
      <c r="A40" s="11" t="inlineStr">
        <is>
          <t>Qwen3.8-LiveTranslate (19 Sep 2026)</t>
        </is>
      </c>
      <c r="B40" s="11" t="inlineStr">
        <is>
          <t>Real-time simultaneous interpretation: 60 languages understood, 29 spoken, about 2.3 s lag</t>
        </is>
      </c>
      <c r="C40" s="11" t="inlineStr">
        <is>
          <t>Hosted API only (Alibaba Cloud Model Studio, QwenCloud, WebSocket). No open weights. Fails the zero-cloud rule on inference off-node and audio leaving the machine</t>
        </is>
      </c>
      <c r="D40" s="11" t="inlineStr">
        <is>
          <t>An open-weights release. Qwen has released weights for Qwen3-Omni, so this is plausible</t>
        </is>
      </c>
      <c r="E40" s="11" t="inlineStr">
        <is>
          <t>Nothing. Live interpretation is an open gap, the Whisper to engine to Kokoro pipeline does consecutive translation only, in Kokoro's eight languages</t>
        </is>
      </c>
    </row>
    <row r="41">
      <c r="A41" s="11" t="inlineStr">
        <is>
          <t>Qwen-Image-2.1 (20 Sep 2026)</t>
        </is>
      </c>
      <c r="B41" s="11" t="inlineStr">
        <is>
          <t>Image generation and editing in one 7B checkpoint: native RGBA, 2K, up to ten reference images, strongest text-in-image of its class, about 14 GB BF16, GGUF available, plain BF16 path on gfx1151</t>
        </is>
      </c>
      <c r="C41" s="11" t="inlineStr">
        <is>
          <t>Qwen Research License, non-commercial only. Same restriction that excluded Fish Audio S2 (C20). Not a peer of Qwen2.5-VL-72B, which reads images, this one makes them</t>
        </is>
      </c>
      <c r="D41" s="11" t="inlineStr">
        <is>
          <t>Re-licensing to Apache-2.0 (Qwen did this for Qwen2.5 within months) or a commercial licence obtained by the Principal</t>
        </is>
      </c>
      <c r="E41" s="11" t="inlineStr">
        <is>
          <t>FLUX.1-dev outright: half the footprint, generate and edit in one model</t>
        </is>
      </c>
    </row>
    <row r="42">
      <c r="A42" s="2" t="inlineStr">
        <is>
          <t>Decision recorded 2026-09-21: FLUX.1-dev stays as the image engine, quality being the deciding factor. FLUX.1-dev carries the same non-commercial licence as Qwen-Image-2.1, so the licence does not separate them; validation on gfx1151 does.</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C32"/>
  <sheetViews>
    <sheetView showGridLines="0" workbookViewId="0">
      <pane ySplit="3" topLeftCell="A4" activePane="bottomLeft" state="frozen"/>
      <selection pane="bottomLeft" activeCell="A1" sqref="A1"/>
    </sheetView>
  </sheetViews>
  <sheetFormatPr baseColWidth="8" defaultRowHeight="15"/>
  <cols>
    <col width="12" customWidth="1" min="1" max="1"/>
    <col width="70" customWidth="1" min="2" max="2"/>
    <col width="60" customWidth="1" min="3" max="3"/>
  </cols>
  <sheetData>
    <row r="1">
      <c r="A1" s="1" t="inlineStr">
        <is>
          <t>Ref Governance</t>
        </is>
      </c>
    </row>
    <row r="2">
      <c r="A2" s="2" t="inlineStr">
        <is>
          <t>Section 16. The never-without-the-Principal list is decision D8; the approval tiers are agreed.</t>
        </is>
      </c>
    </row>
    <row r="4">
      <c r="A4" s="3" t="inlineStr">
        <is>
          <t>Standing rules</t>
        </is>
      </c>
    </row>
    <row r="5">
      <c r="A5" s="10" t="inlineStr">
        <is>
          <t>#</t>
        </is>
      </c>
      <c r="B5" s="10" t="inlineStr">
        <is>
          <t>Rule</t>
        </is>
      </c>
    </row>
    <row r="6">
      <c r="A6" s="11" t="inlineStr">
        <is>
          <t>1</t>
        </is>
      </c>
      <c r="B6" s="11" t="inlineStr">
        <is>
          <t>The Principal speaks only to Ren or Arthur. Shadow Cabinet output is never surfaced directly; the hemisphere synthesises and speaks.</t>
        </is>
      </c>
    </row>
    <row r="7">
      <c r="A7" s="11" t="inlineStr">
        <is>
          <t>2</t>
        </is>
      </c>
      <c r="B7" s="11" t="inlineStr">
        <is>
          <t>Directors correspond externally under their own identities for routine and standard matters; Ren and Arthur are reserved for matters that warrant them.</t>
        </is>
      </c>
    </row>
    <row r="8">
      <c r="A8" s="11" t="inlineStr">
        <is>
          <t>3</t>
        </is>
      </c>
      <c r="B8" s="11" t="inlineStr">
        <is>
          <t>Every outbound action passes the approval gate in code (16.2). This is a hard code path, not a prompt instruction.</t>
        </is>
      </c>
    </row>
    <row r="9">
      <c r="A9" s="11" t="inlineStr">
        <is>
          <t>4</t>
        </is>
      </c>
      <c r="B9" s="11" t="inlineStr">
        <is>
          <t>ATLAS never discloses its AI nature externally. Recorded as a legal exposure in R12; the approval gate is the control.</t>
        </is>
      </c>
    </row>
    <row r="10">
      <c r="A10" s="11" t="inlineStr">
        <is>
          <t>5</t>
        </is>
      </c>
      <c r="B10" s="11" t="inlineStr">
        <is>
          <t>ATLAS never delegates work back to the Principal. A rewrite pass removes any task-shaped request to the Principal; only decisions and approvals may be asked.</t>
        </is>
      </c>
    </row>
    <row r="11">
      <c r="A11" s="11" t="inlineStr">
        <is>
          <t>6</t>
        </is>
      </c>
      <c r="B11" s="11" t="inlineStr">
        <is>
          <t>Register differs between Principal and external recipients (6.4).</t>
        </is>
      </c>
    </row>
    <row r="12">
      <c r="A12" s="11" t="inlineStr">
        <is>
          <t>7</t>
        </is>
      </c>
      <c r="B12" s="11" t="inlineStr">
        <is>
          <t>Cross-domain requests must trigger their task-force preset (8.3).</t>
        </is>
      </c>
    </row>
    <row r="13">
      <c r="A13" s="11" t="inlineStr">
        <is>
          <t>8</t>
        </is>
      </c>
      <c r="B13" s="11" t="inlineStr">
        <is>
          <t>Money never moves without the Principal. Two-factor prompts are never automated.</t>
        </is>
      </c>
    </row>
    <row r="15">
      <c r="A15" s="3" t="inlineStr">
        <is>
          <t>Approval tiers</t>
        </is>
      </c>
    </row>
    <row r="16">
      <c r="A16" s="10" t="inlineStr">
        <is>
          <t>Tier</t>
        </is>
      </c>
      <c r="B16" s="10" t="inlineStr">
        <is>
          <t>Examples</t>
        </is>
      </c>
      <c r="C16" s="10" t="inlineStr">
        <is>
          <t>Behaviour</t>
        </is>
      </c>
    </row>
    <row r="17">
      <c r="A17" s="11" t="inlineStr">
        <is>
          <t>Routine</t>
        </is>
      </c>
      <c r="B17" s="11" t="inlineStr">
        <is>
          <t>Meeting scheduling, confirmations, acknowledgements</t>
        </is>
      </c>
      <c r="C17" s="11" t="inlineStr">
        <is>
          <t>Pre-approved categories, sent automatically, logged for review</t>
        </is>
      </c>
    </row>
    <row r="18">
      <c r="A18" s="11" t="inlineStr">
        <is>
          <t>Standard</t>
        </is>
      </c>
      <c r="B18" s="11" t="inlineStr">
        <is>
          <t>Replies with substance, requests, negotiations, content updates, DNS changes</t>
        </is>
      </c>
      <c r="C18" s="11" t="inlineStr">
        <is>
          <t>Drafted, held until the Principal approves</t>
        </is>
      </c>
    </row>
    <row r="19">
      <c r="A19" s="11" t="inlineStr">
        <is>
          <t>Sensitive</t>
        </is>
      </c>
      <c r="B19" s="11" t="inlineStr">
        <is>
          <t>Legal, financial, medical, estate, security, any payment, anything under a sensitive-tier task force</t>
        </is>
      </c>
      <c r="C19" s="11" t="inlineStr">
        <is>
          <t>Drafted, held, flagged with the director's reasoning; strong cross-check applied automatically</t>
        </is>
      </c>
    </row>
    <row r="21">
      <c r="A21" s="3" t="inlineStr">
        <is>
          <t>Never without the Principal (proposed, D8)</t>
        </is>
      </c>
    </row>
    <row r="22">
      <c r="A22" s="10" t="inlineStr">
        <is>
          <t>#</t>
        </is>
      </c>
      <c r="B22" s="10" t="inlineStr">
        <is>
          <t>Action</t>
        </is>
      </c>
    </row>
    <row r="23">
      <c r="A23" s="11" t="inlineStr">
        <is>
          <t>1</t>
        </is>
      </c>
      <c r="B23" s="11" t="inlineStr">
        <is>
          <t>Move money, initiate a payment, or change a payment method.</t>
        </is>
      </c>
    </row>
    <row r="24">
      <c r="A24" s="11" t="inlineStr">
        <is>
          <t>2</t>
        </is>
      </c>
      <c r="B24" s="11" t="inlineStr">
        <is>
          <t>Sign, accept, or bind to a contract or terms.</t>
        </is>
      </c>
    </row>
    <row r="25">
      <c r="A25" s="11" t="inlineStr">
        <is>
          <t>3</t>
        </is>
      </c>
      <c r="B25" s="11" t="inlineStr">
        <is>
          <t>Send external correspondence above the routine tier.</t>
        </is>
      </c>
    </row>
    <row r="26">
      <c r="A26" s="11" t="inlineStr">
        <is>
          <t>4</t>
        </is>
      </c>
      <c r="B26" s="11" t="inlineStr">
        <is>
          <t>Change DNS, domain, or Cloudflare security settings.</t>
        </is>
      </c>
    </row>
    <row r="27">
      <c r="A27" s="11" t="inlineStr">
        <is>
          <t>5</t>
        </is>
      </c>
      <c r="B27" s="11" t="inlineStr">
        <is>
          <t>Delete, move, or modify vault contents or backups.</t>
        </is>
      </c>
    </row>
    <row r="28">
      <c r="A28" s="11" t="inlineStr">
        <is>
          <t>6</t>
        </is>
      </c>
      <c r="B28" s="11" t="inlineStr">
        <is>
          <t>Modify its own code, configuration, approval tiers, router rules, or the allowlist. Domain 20 proposes; the Principal approves.</t>
        </is>
      </c>
    </row>
    <row r="29">
      <c r="A29" s="11" t="inlineStr">
        <is>
          <t>7</t>
        </is>
      </c>
      <c r="B29" s="11" t="inlineStr">
        <is>
          <t>Enable continuous vision or audio capture.</t>
        </is>
      </c>
    </row>
    <row r="30">
      <c r="A30" s="11" t="inlineStr">
        <is>
          <t>8</t>
        </is>
      </c>
      <c r="B30" s="11" t="inlineStr">
        <is>
          <t>Install software or pull models from outside the allowlist.</t>
        </is>
      </c>
    </row>
    <row r="31">
      <c r="A31" s="11" t="inlineStr">
        <is>
          <t>9</t>
        </is>
      </c>
      <c r="B31" s="11" t="inlineStr">
        <is>
          <t>Share any Principal data with a third party not already connected under Section 13.</t>
        </is>
      </c>
    </row>
    <row r="32">
      <c r="A32" s="11" t="inlineStr">
        <is>
          <t>10</t>
        </is>
      </c>
      <c r="B32" s="11" t="inlineStr">
        <is>
          <t>Create new external identities, accounts, or mailboxes.</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45"/>
  <sheetViews>
    <sheetView showGridLines="0" workbookViewId="0">
      <pane ySplit="3" topLeftCell="A4" activePane="bottomLeft" state="frozen"/>
      <selection pane="bottomLeft" activeCell="A1" sqref="A1"/>
    </sheetView>
  </sheetViews>
  <sheetFormatPr baseColWidth="8" defaultRowHeight="15"/>
  <cols>
    <col width="14" customWidth="1" min="1" max="1"/>
    <col width="95" customWidth="1" min="2" max="2"/>
  </cols>
  <sheetData>
    <row r="1">
      <c r="A1" s="1" t="inlineStr">
        <is>
          <t>Ref Day 1</t>
        </is>
      </c>
    </row>
    <row r="2">
      <c r="A2" s="2" t="inlineStr">
        <is>
          <t>Section 17. Four phases; each ends with a printed pass/fail gate. Phases 3 and 4 run detached and resumable.</t>
        </is>
      </c>
    </row>
    <row r="4">
      <c r="A4" s="3" t="inlineStr">
        <is>
          <t>Expected durations</t>
        </is>
      </c>
    </row>
    <row r="5">
      <c r="A5" s="10" t="inlineStr">
        <is>
          <t>Phase</t>
        </is>
      </c>
      <c r="B5" s="10" t="inlineStr">
        <is>
          <t>Time</t>
        </is>
      </c>
    </row>
    <row r="6">
      <c r="A6" s="11" t="inlineStr">
        <is>
          <t>1</t>
        </is>
      </c>
      <c r="B6" s="11" t="inlineStr">
        <is>
          <t>30 to 60 minutes including reboot</t>
        </is>
      </c>
    </row>
    <row r="7">
      <c r="A7" s="11" t="inlineStr">
        <is>
          <t>2</t>
        </is>
      </c>
      <c r="B7" s="11" t="inlineStr">
        <is>
          <t>30 to 60 minutes</t>
        </is>
      </c>
    </row>
    <row r="8">
      <c r="A8" s="11" t="inlineStr">
        <is>
          <t>3</t>
        </is>
      </c>
      <c r="B8" s="11" t="inlineStr">
        <is>
          <t>Download-bound: ~15 hours at 100 Mbps over Wi-Fi for ~690 GB; plus ~30 minutes of load tests</t>
        </is>
      </c>
    </row>
    <row r="9">
      <c r="A9" s="11" t="inlineStr">
        <is>
          <t>4</t>
        </is>
      </c>
      <c r="B9" s="11" t="inlineStr">
        <is>
          <t>Download and build-bound: several hours; can run overnight</t>
        </is>
      </c>
    </row>
    <row r="11">
      <c r="A11" s="3" t="inlineStr">
        <is>
          <t>Phase steps</t>
        </is>
      </c>
    </row>
    <row r="12">
      <c r="A12" s="10" t="inlineStr">
        <is>
          <t>Phase</t>
        </is>
      </c>
      <c r="B12" s="10" t="inlineStr">
        <is>
          <t>Step</t>
        </is>
      </c>
    </row>
    <row r="13">
      <c r="A13" s="11" t="inlineStr">
        <is>
          <t>Phase 1</t>
        </is>
      </c>
      <c r="B13" s="11" t="inlineStr">
        <is>
          <t>1. Pre-flight, using only what a bare host has (one exception since v0.3.4, below): confirm Ubuntu Server 26.04.1, kernel 7.0, both NVMe drives present, fTPM enabled (V2), and the GPU present and identified from lspci and /sys/class/drm. The rocminfo confirmation of gfx1151 belongs to the Phase 4 container self-test (V11), because ROCm is never installed on the host (3.4). *v0.3.4: the one package step 1 fetches is systemd's TPM2 library set (libtss2-rc0t64, which the server image lacks, and esys/mu/tcti-device when a minimized install lacks those too), from the Ubuntu archive before the proxy and firewall exist; exactly one TPM is required, since tpm2-device=auto refuses two (S42). Every package install through the scripts' installer and every package-list update first waits, up to 15 minutes, for apt-daily/unattended-upgrades to finish; the remaining apt calls wait on the dpkg lock for 5 minutes.*</t>
        </is>
      </c>
    </row>
    <row r="14">
      <c r="A14" s="11" t="inlineStr">
        <is>
          <t>Phase 1</t>
        </is>
      </c>
      <c r="B14" s="11" t="inlineStr">
        <is>
          <t>2. LUKS2 on the data volume, TPM2 enrolment, recovery key printed once for off-node storage (D3).</t>
        </is>
      </c>
    </row>
    <row r="15">
      <c r="A15" s="11" t="inlineStr">
        <is>
          <t>Phase 1</t>
        </is>
      </c>
      <c r="B15" s="11" t="inlineStr">
        <is>
          <t>3. Mount layout per Section 3.5; swap off; tmpfs for /tmp.</t>
        </is>
      </c>
    </row>
    <row r="16">
      <c r="A16" s="11" t="inlineStr">
        <is>
          <t>Phase 1</t>
        </is>
      </c>
      <c r="B16" s="11" t="inlineStr">
        <is>
          <t>4. System update; kernel parameters (V3); firewall baseline; SSH hardening; Cockpit. *v0.3.4: tpm2-tools is installed before the update and every initramfs is rebuilt with TPM2 support before the reboot (S32); time sync is proven through the closed firewall (S35). v0.3.5: before the update the node is held on the GA 7.0 kernel line; HWE metapackages over the same 7.0 image are swapped for linux-generic after a clean apt simulation, anything else (an OEM kernel, an image outside 7.0, a kernel metapackage held with apt-mark) becomes the to-do kernel-line (S45). v0.3.5, option (c) of 2026-10-10 (S48): kdump is switched off without removing the package (debconf answer false and USE_KDUMP=0, kdump-tools.service disabled and masked, a loaded crash kernel unloaded), and /etc/default/grub.d/zzz-atlas-crash.cfg removes every crashkernel= and panic= from the kernel line and appends panic=10; after update-grub the step stops if grub.cfg still carries crashkernel= or its first kernel line (the default entry) does not carry exactly one panic=10. v0.3.5, 2026-10-10 (S49): the same drop-in also removes every kho= and appends kho=off after panic=10, the step stops unless that first kernel line carries exactly one kho= word and it is kho=off, and its log records the kexec handover scratch the running kernel holds (on the first run that boot still carries the crash-kernel reservation, which adds about 8.5 GiB to the scratch, S49). v0.3.5, 2026-10-11 (S50): last before the reboot, the step finds the hardware watchdog without starting it: it loads sp5100_tco by name, since Ubuntu blacklists every watchdog module, and does not take a zero exit status as proof (only /sys/class/watchdog counts, where a device named exactly SP5100 TCO timer and bound to the sp5100-tco driver must appear); otherwise it unloads the module, tries wdat_wdt only when ACPI has a WDAT table, and with neither chooses softdog soft_panic=1 for the next boot (not loaded now) and raises the to-do watchdog, which a later run that finds a hardware watchdog closes. It never opens /dev/watchdog*. It then writes /etc/systemd/system/atlas-watchdog-driver.service (a plain modprobe of the chosen driver before sysinit.target at every boot), enabled without reloading systemd, and /etc/systemd/system.conf.d/90-atlas-watchdog.conf (RuntimeWatchdogSec=2min, RebootWatchdogSec=10min), both rewritten whole on every run, and logs what it found (the SMBus controller's PCI ids, whether ACPI has a WDAT table, and the device's state, timeout and boot status, or the driver's kernel lines when it made no device). systemd arms the watchdog from the reboot on. A missing hardware watchdog never stops the step; a unit that cannot be enabled does.*</t>
        </is>
      </c>
    </row>
    <row r="17">
      <c r="A17" s="11" t="inlineStr">
        <is>
          <t>Phase 1</t>
        </is>
      </c>
      <c r="B17" s="11" t="inlineStr">
        <is>
          <t>5. Reboot. Post-reboot: vulkaninfo shows the Radeon 8065S, and the GTT pool read from /sys/class/drm matches the kernel parameters (V3, first half). The llama-cli --list-devices check (llama.cpp's Vulkan backend lists the GPU as Vulkan0 with at least 160000 MiB, about 156 GiB, of device memory; the figure is recorded and is not the engine budget) moves to the Phase 2 gate, since llama.cpp is installed in Phase 2 (V3, second half). *v0.3.5: V3a also proves the crash settings of S48: no crashkernel= on the booted command line and no crash-kernel memory reserved, exactly one panic=10, kernel.panic 10 and kernel.panic_on_oops 0. Since S49 it also fails unless the booted command line carries exactly one kho= word, the literal kho=off, and on any CMA memory: kexec handover scratch still set aside (the zone cma pages of /proc/zoneinfo less CmaTotal, which never counts the scratch) or a named CMA area (CmaTotal above 0). Three read-only records follow: the kernel line (the to-do kernel-line closes once it is GA 7.0, and is raised again with the state after the reboot otherwise, S45), what the unused NPU shows (PCI revision, driver, /dev/accel; 3.7 W-NPU), and whether a kernel panic's log can be kept across the restart (the pstore backend, systemd-pstore.service, archived records and kdump's state; S48), which warns but never stops. v0.3.5, 2026-10-11 (S50): right after V3a, V24 proves that systemd has armed the watchdog step 4 installed, with both timeouts in effect, pings it and is the only holder of the device; a hardware watchdog passes, the softdog fallback is recorded deferred (to-do watchdog), and anything else, no watchdog device at all included, is a fail that stops the step as V3a does.*</t>
        </is>
      </c>
    </row>
    <row r="18">
      <c r="A18" s="11" t="inlineStr">
        <is>
          <t>Phase 1</t>
        </is>
      </c>
      <c r="B18" s="11" t="inlineStr">
        <is>
          <t>5b. XFCE and xrdp installed, bound to LAN and WireGuard only; Google Chrome in the desktop session (v0.3.3); one RDP connection tested from the Principal's Windows PC (V19; no connection within 10 minutes is deferred with a to-do, not failed).</t>
        </is>
      </c>
    </row>
    <row r="19">
      <c r="A19" s="11" t="inlineStr">
        <is>
          <t>Phase 1</t>
        </is>
      </c>
      <c r="B19" s="11" t="inlineStr">
        <is>
          <t>6. Docker with GPU device passthrough; service account in render and video.</t>
        </is>
      </c>
    </row>
    <row r="20">
      <c r="A20" s="11" t="inlineStr">
        <is>
          <t>Phase 1</t>
        </is>
      </c>
      <c r="B20" s="11" t="inlineStr">
        <is>
          <t>7. WG-Easy, Cloudflare dynamic DNS with the relocated scoped token (R7), ntfy.</t>
        </is>
      </c>
    </row>
    <row r="21">
      <c r="A21" s="11" t="inlineStr">
        <is>
          <t>Phase 1</t>
        </is>
      </c>
      <c r="B21" s="11" t="inlineStr">
        <is>
          <t>8. Gate: table of V2, V3 first half, V5, V19 and V24 results. Phase 2 does not start on a red row. V1 is recorded as informational only, since the node runs on Wi-Fi. *v0.3.5 (S50): V24 is required; its deferred row (the softdog fallback, to-do watchdog) never blocks, like every deferred row.*</t>
        </is>
      </c>
    </row>
    <row r="22">
      <c r="A22" s="11" t="inlineStr">
        <is>
          <t>Phase 2</t>
        </is>
      </c>
      <c r="B22" s="11" t="inlineStr">
        <is>
          <t>1. llama-server, Vulkan build; optional ROCm container for tuned prefill.</t>
        </is>
      </c>
    </row>
    <row r="23">
      <c r="A23" s="11" t="inlineStr">
        <is>
          <t>Phase 2</t>
        </is>
      </c>
      <c r="B23" s="11" t="inlineStr">
        <is>
          <t>2. Redis, Celery workers (cpu, gpu queues), orchestrator scaffold with the Engine Arbiter, router, approval queue, task ledger.</t>
        </is>
      </c>
    </row>
    <row r="24">
      <c r="A24" s="11" t="inlineStr">
        <is>
          <t>Phase 2</t>
        </is>
      </c>
      <c r="B24" s="11" t="inlineStr">
        <is>
          <t>3. Open WebUI with offline hardening (12.1); A.T.L.A.S., Ren, Arthur registered as models; the router Filter installed.</t>
        </is>
      </c>
    </row>
    <row r="25">
      <c r="A25" s="11" t="inlineStr">
        <is>
          <t>Phase 2</t>
        </is>
      </c>
      <c r="B25" s="11" t="inlineStr">
        <is>
          <t>4. ChromaDB, LightRAG graph store (D7), and the three resident small models named in D4: the Qwen3.5 4B-class router model, bge-m3 embeddings, bge-reranker-v2-m3. All are small and belong in this no-large-downloads phase. Docling ingestion service.</t>
        </is>
      </c>
    </row>
    <row r="26">
      <c r="A26" s="11" t="inlineStr">
        <is>
          <t>Phase 2</t>
        </is>
      </c>
      <c r="B26" s="11" t="inlineStr">
        <is>
          <t>5. Kokoro, Chatterbox, Whisper Large-v3-Turbo, PyAnnote 3.1 (V6).</t>
        </is>
      </c>
    </row>
    <row r="27">
      <c r="A27" s="11" t="inlineStr">
        <is>
          <t>Phase 2</t>
        </is>
      </c>
      <c r="B27" s="11" t="inlineStr">
        <is>
          <t>6. Phase 2 tools (15.1): IfcOpenShell, Bonsai, MCP4IFC, Radiance, OpenStudio/EnergyPlus, KiCad CLI, Playwright, the cross-platform build container (Android and Windows targets only).</t>
        </is>
      </c>
    </row>
    <row r="28">
      <c r="A28" s="11" t="inlineStr">
        <is>
          <t>Phase 2</t>
        </is>
      </c>
      <c r="B28" s="11" t="inlineStr">
        <is>
          <t>6b. Relocate the Cloudflare token automatically: scoped token into a mode-600 environment file owned by the updater service, outside /srv/atlas and outside restic's include set, then delete CLOUDFLARE.txt (R7, D-closed).</t>
        </is>
      </c>
    </row>
    <row r="29">
      <c r="A29" s="11" t="inlineStr">
        <is>
          <t>Phase 2</t>
        </is>
      </c>
      <c r="B29" s="11" t="inlineStr">
        <is>
          <t>6c. Google OAuth pause: the script prints one authorisation link per account, waits for the Principal to approve in a browser, then continues. Two accounts, roughly five minutes total (V20).</t>
        </is>
      </c>
    </row>
    <row r="30">
      <c r="A30" s="11" t="inlineStr">
        <is>
          <t>Phase 2</t>
        </is>
      </c>
      <c r="B30" s="11" t="inlineStr">
        <is>
          <t>6d. AEGIS sandbox image (Section 16.4): built and proved by killing a runaway process under the memory cap (V17). *Added in v0.3.2; the build showed Section 17 had no home for V17.*</t>
        </is>
      </c>
    </row>
    <row r="31">
      <c r="A31" s="11" t="inlineStr">
        <is>
          <t>Phase 2</t>
        </is>
      </c>
      <c r="B31" s="11" t="inlineStr">
        <is>
          <t>7. restic repository on the second drive; nightly timer; first backup; first restore test.</t>
        </is>
      </c>
    </row>
    <row r="32">
      <c r="A32" s="11" t="inlineStr">
        <is>
          <t>Phase 2</t>
        </is>
      </c>
      <c r="B32" s="11" t="inlineStr">
        <is>
          <t>8. Sentinel timer, enabled with the feeds closed under D6: CoinDesk, an ASX and US index feed, RSS news, node telemetry. Pruning timer.</t>
        </is>
      </c>
    </row>
    <row r="33">
      <c r="A33" s="11" t="inlineStr">
        <is>
          <t>Phase 2</t>
        </is>
      </c>
      <c r="B33" s="11" t="inlineStr">
        <is>
          <t>9. Windows PC share mount unit, on-demand. *Skipped on Day 1 (v0.3.3, Section 12.4): runs when WINDOWS_SHARE and the credential file exist.*</t>
        </is>
      </c>
    </row>
    <row r="34">
      <c r="A34" s="11" t="inlineStr">
        <is>
          <t>Phase 2</t>
        </is>
      </c>
      <c r="B34" s="11" t="inlineStr">
        <is>
          <t>9b. Vault (Section 11): gocryptfs initialised with a passphrase the Principal types once, the open/lock/idle mechanics proved, and the memory rule proved (V18). *Added in v0.3.2.*</t>
        </is>
      </c>
    </row>
    <row r="35">
      <c r="A35" s="11" t="inlineStr">
        <is>
          <t>Phase 2</t>
        </is>
      </c>
      <c r="B35" s="11" t="inlineStr">
        <is>
          <t>10. Gate: every service healthy; V3 second half (llama-cli --list-devices lists Vulkan0 with at least 160000 MiB of device memory), V6, V7 (listening test, deferred if the reference recordings do not exist yet), V12, V13, V14 first half, V15, V16, V17, V18, V20, V23 recorded, plus V10's resident-router half. The Arbiter's refusal logic is unit-tested here against stub footprints; the real two-engine test is V21 in Phase 3. Tool installs whose inputs could not be verified in advance (Bonsai, Blender, OpenStudio/EnergyPlus, MCP4IFC, the build container) record a deferred T-&lt;tool&gt; row and never block the gate; --force 06 re-runs them.</t>
        </is>
      </c>
    </row>
    <row r="36">
      <c r="A36" s="11" t="inlineStr">
        <is>
          <t>Phase 3</t>
        </is>
      </c>
      <c r="B36" s="11" t="inlineStr">
        <is>
          <t>1. Pull, with checksum verification, at the quantisations fixed in Section 5.1: gpt-oss-120b (MXFP4), gpt-oss-120b abliterated (MXFP4), Nemotron 3 Super (Q8_0), Qwen3.5-122B-A10B (Q8_0), DeepSeek V4 Flash (UD-Q4_K_XL), Qwen2.5-VL-72B (Q8_0), Meditron-70B (Q8_0). About 690 GB.</t>
        </is>
      </c>
    </row>
    <row r="37">
      <c r="A37" s="11" t="inlineStr">
        <is>
          <t>Phase 3</t>
        </is>
      </c>
      <c r="B37" s="11" t="inlineStr">
        <is>
          <t>2. For each model, in turn: load through the Engine Arbiter; confirm the quantised KV cache actually applied (V4); measure decode and prefill at 512 and 8k tokens; measure swap time; unload; confirm memory returned.</t>
        </is>
      </c>
    </row>
    <row r="38">
      <c r="A38" s="11" t="inlineStr">
        <is>
          <t>Phase 3</t>
        </is>
      </c>
      <c r="B38" s="11" t="inlineStr">
        <is>
          <t>3. Two-residency test: load gpt-oss-120b and Qwen2.5-VL-72B together, confirm both hold at ~142 GB, and confirm a second generation request queues rather than running concurrently (V14, V21).</t>
        </is>
      </c>
    </row>
    <row r="39">
      <c r="A39" s="11" t="inlineStr">
        <is>
          <t>Phase 3</t>
        </is>
      </c>
      <c r="B39" s="11" t="inlineStr">
        <is>
          <t>4. Gate: printed table of load success, KV type, tok/s, swap seconds per engine. This is the day-one load test the whole design depends on (V10). DeepSeek V4 Flash carries its own row: mainline llama.cpp support for this architecture is newer than the rest, so a failure here downgrades it to deferred without blocking the phase (R19).</t>
        </is>
      </c>
    </row>
    <row r="40">
      <c r="A40" s="11" t="inlineStr">
        <is>
          <t>Phase 4</t>
        </is>
      </c>
      <c r="B40" s="11" t="inlineStr">
        <is>
          <t>1. Inside the base ROCm container, confirm rocminfo reports gfx1151, then self-test the community PyTorch wheel: tensor on GPU, matmul, a small diffusion step (V11). This is the first and only place ROCm runs.</t>
        </is>
      </c>
    </row>
    <row r="41">
      <c r="A41" s="11" t="inlineStr">
        <is>
          <t>Phase 4</t>
        </is>
      </c>
      <c r="B41" s="11" t="inlineStr">
        <is>
          <t>2. Build green engines in order of value: FLUX.1-dev, Wan2.2, Florence-2, TimesFM or Chronos, UI-TARS 2.0, Rad-DINO, SAM 2 with the extension flag, Stable Audio Open, CosyVoice2, OpenVLA. The vision engine is not here; Qwen2.5-VL-72B is a GGUF engine pulled in Phase 3.</t>
        </is>
      </c>
    </row>
    <row r="42">
      <c r="A42" s="11" t="inlineStr">
        <is>
          <t>Phase 4</t>
        </is>
      </c>
      <c r="B42" s="11" t="inlineStr">
        <is>
          <t>3. Attempt yellow engines: TRELLIS, Blender Cycles HIP with CPU fallback. Log pass or fail, never block.</t>
        </is>
      </c>
    </row>
    <row r="43">
      <c r="A43" s="11" t="inlineStr">
        <is>
          <t>Phase 4</t>
        </is>
      </c>
      <c r="B43" s="11" t="inlineStr">
        <is>
          <t>4. Verify PointLLM (V8) and Clay or Prithvi (V9); mark deferred if they fail.</t>
        </is>
      </c>
    </row>
    <row r="44">
      <c r="A44" s="11" t="inlineStr">
        <is>
          <t>Phase 4</t>
        </is>
      </c>
      <c r="B44" s="11" t="inlineStr">
        <is>
          <t>5. Register every passing engine with the Engine Arbiter with its measured footprint.</t>
        </is>
      </c>
    </row>
    <row r="45">
      <c r="A45" s="11" t="inlineStr">
        <is>
          <t>Phase 4</t>
        </is>
      </c>
      <c r="B45" s="11" t="inlineStr">
        <is>
          <t>6. Gate: per-engine table: built, loaded, sample output produced, footprint, pass/fail/deferred.</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D43"/>
  <sheetViews>
    <sheetView showGridLines="0" workbookViewId="0">
      <pane ySplit="3" topLeftCell="A4" activePane="bottomLeft" state="frozen"/>
      <selection pane="bottomLeft" activeCell="A1" sqref="A1"/>
    </sheetView>
  </sheetViews>
  <sheetFormatPr baseColWidth="8" defaultRowHeight="15"/>
  <cols>
    <col width="34" customWidth="1" min="1" max="1"/>
    <col width="46" customWidth="1" min="2" max="2"/>
    <col width="76" customWidth="1" min="3" max="3"/>
    <col width="60" customWidth="1" min="4" max="4"/>
  </cols>
  <sheetData>
    <row r="1">
      <c r="A1" s="1" t="inlineStr">
        <is>
          <t>Ref Hardware</t>
        </is>
      </c>
    </row>
    <row r="2">
      <c r="A2" s="2" t="inlineStr">
        <is>
          <t>Sections 2, 3.7 and 4.1. The machine v0.2 is built for, what is deliberately left out of its platform, and what its 192 GB actually buys.</t>
        </is>
      </c>
    </row>
    <row r="4">
      <c r="A4" s="3" t="inlineStr">
        <is>
          <t>GMKtec EVO-X5 Pro, Gorgon Halo platform</t>
        </is>
      </c>
    </row>
    <row r="5">
      <c r="A5" s="10" t="inlineStr">
        <is>
          <t>Component</t>
        </is>
      </c>
      <c r="B5" s="10" t="inlineStr">
        <is>
          <t>Specification</t>
        </is>
      </c>
      <c r="C5" s="10" t="inlineStr">
        <is>
          <t>Design consequence</t>
        </is>
      </c>
    </row>
    <row r="6">
      <c r="A6" s="11" t="inlineStr">
        <is>
          <t>CPU</t>
        </is>
      </c>
      <c r="B6" s="11" t="inlineStr">
        <is>
          <t>AMD Ryzen AI Max+ PRO 495, 16 Zen 5 cores, 32 threads, up to 5.2 GHz, 64 MB cache</t>
        </is>
      </c>
      <c r="C6" s="11" t="inlineStr">
        <is>
          <t>Ample for orchestrator, Celery CPU workers, vector DB, browser automation, CPU-only tools (Radiance, EnergyPlus, KiCad, Docling)</t>
        </is>
      </c>
    </row>
    <row r="7">
      <c r="A7" s="11" t="inlineStr">
        <is>
          <t>GPU</t>
        </is>
      </c>
      <c r="B7" s="11" t="inlineStr">
        <is>
          <t>Radeon 8065S, 40 CUs, RDNA 3.5, ROCm target gfx1151, confirmed by the Principal</t>
        </is>
      </c>
      <c r="C7" s="11" t="inlineStr">
        <is>
          <t>Runs all inference. Same identifier as the previous machine, so every community ROCm, Vulkan and llama.cpp finding carries over unchanged</t>
        </is>
      </c>
    </row>
    <row r="8">
      <c r="A8" s="11" t="inlineStr">
        <is>
          <t>NPU</t>
        </is>
      </c>
      <c r="B8" s="11" t="inlineStr">
        <is>
          <t>XDNA 2, up to 55 TOPS</t>
        </is>
      </c>
      <c r="C8" s="11" t="inlineStr">
        <is>
          <t>Not used. Zero design dependency (re-checked 2026-10-09, watch-list W-NPU in 3.7). The 26.04 kernel already ships the NPU driver (amdxdna) and its firmware, so the NPU may show up as /dev/accel/accel0; that is harmless, no container is given it, and step 5 records what the node shows. Linux NPU software now exists (FastFlowLM, maintained by AMD, with an Ubuntu 26.04 package), so v0.3.4's "Windows-first" no longer holds, but it does not fit ATLAS today (3.7)</t>
        </is>
      </c>
    </row>
    <row r="9">
      <c r="A9" s="11" t="inlineStr">
        <is>
          <t>Memory</t>
        </is>
      </c>
      <c r="B9" s="11" t="inlineStr">
        <is>
          <t>192 GB LPDDR5X-8533, soldered</t>
        </is>
      </c>
      <c r="C9" s="11" t="inlineStr">
        <is>
          <t>273 GB/s. Decode speed = bandwidth ÷ active weight bytes. Not upgradeable</t>
        </is>
      </c>
    </row>
    <row r="10">
      <c r="A10" s="11" t="inlineStr">
        <is>
          <t>GPU-addressable memory</t>
        </is>
      </c>
      <c r="B10" s="11" t="inlineStr">
        <is>
          <t>All of MemTotal on Linux via GTT once Day 1 has switched off kexec handover (kho=off, S49; with it on, Ubuntu's 7.0 kernel keeps about 13 GiB of MemTotal where GPU pages cannot go), about 187 to 188 GiB expected once Day 1 has removed the 4.25 GiB that kdump-tools reserves for a crash kernel (S48), of which about 164 GiB is free for engines once the GPU resident set and the 16 GiB host reserve are subtracted (4.1; v0.3.4 said ~180 GB and ~170 GB)</t>
        </is>
      </c>
      <c r="C10" s="11" t="inlineStr">
        <is>
          <t>VERIFY V3. The reason to buy this machine, and what makes Q8 quantisation and a 155 GB Apex engine possible</t>
        </is>
      </c>
    </row>
    <row r="11">
      <c r="A11" s="11" t="inlineStr">
        <is>
          <t>Power</t>
        </is>
      </c>
      <c r="B11" s="11" t="inlineStr">
        <is>
          <t>45–120 W configurable TDP</t>
        </is>
      </c>
      <c r="C11" s="11" t="inlineStr">
        <is>
          <t>Principal is adding external cooling (R10)</t>
        </is>
      </c>
    </row>
    <row r="12">
      <c r="A12" s="11" t="inlineStr">
        <is>
          <t>Expansion</t>
        </is>
      </c>
      <c r="B12" s="11" t="inlineStr">
        <is>
          <t>USB4 ports with external GPU dock support; a third M.2 slot unused</t>
        </is>
      </c>
      <c r="C12" s="11" t="inlineStr">
        <is>
          <t>A CUDA-locked tool (NVIDIA Modulus/PhysicsNeMo) would need an NVIDIA card via the dock</t>
        </is>
      </c>
    </row>
    <row r="13">
      <c r="A13" s="11" t="inlineStr">
        <is>
          <t>Network</t>
        </is>
      </c>
      <c r="B13" s="11" t="inlineStr">
        <is>
          <t>Wi-Fi only by Principal's choice</t>
        </is>
      </c>
      <c r="C13" s="11" t="inlineStr">
        <is>
          <t>Wired 10GbE not used. V1 is informational, not a gate. Affects Phase 3 and 4 download time, not the VPN or the port forward</t>
        </is>
      </c>
    </row>
    <row r="14">
      <c r="A14" s="11" t="inlineStr">
        <is>
          <t>Storage 1</t>
        </is>
      </c>
      <c r="B14" s="11" t="inlineStr">
        <is>
          <t>8 TB NVMe, PCIe 4.0 x4</t>
        </is>
      </c>
      <c r="C14" s="11" t="inlineStr">
        <is>
          <t>/srv/atlas: models, engines, agent data, vector stores, vault. The growing side</t>
        </is>
      </c>
    </row>
    <row r="15">
      <c r="A15" s="11" t="inlineStr">
        <is>
          <t>Storage 2</t>
        </is>
      </c>
      <c r="B15" s="11" t="inlineStr">
        <is>
          <t>4 TB NVMe, PCIe 4.0 x4</t>
        </is>
      </c>
      <c r="C15" s="11" t="inlineStr">
        <is>
          <t>Operating system, logs, cold storage archives, restic backups. Both drives are now the same speed, so capacity decides the split, not bandwidth</t>
        </is>
      </c>
    </row>
    <row r="17">
      <c r="A17" s="3" t="inlineStr">
        <is>
          <t>Platform watch-list: considered, not adopted (3.7, reviewed 2026-10-09)</t>
        </is>
      </c>
    </row>
    <row r="18">
      <c r="A18" s="10" t="inlineStr">
        <is>
          <t>Item</t>
        </is>
      </c>
      <c r="B18" s="10" t="inlineStr">
        <is>
          <t>What it is</t>
        </is>
      </c>
      <c r="C18" s="10" t="inlineStr">
        <is>
          <t>Why not now</t>
        </is>
      </c>
      <c r="D18" s="10" t="inlineStr">
        <is>
          <t>What would change the answer</t>
        </is>
      </c>
    </row>
    <row r="19">
      <c r="A19" s="11" t="inlineStr">
        <is>
          <t>W-NPU: the XDNA 2 NPU (reviewed 2026-10-09)</t>
        </is>
      </c>
      <c r="B19" s="11" t="inlineStr">
        <is>
          <t>The NPU inside the PRO 495. The Linux 7.4 patch ("accel/amdxdna: Add support for AIE2 revision 9", posted 2026-09-29) adds two lines that give it the name "NPU Gorgon Halo"; the driver binds by PCI identity (1022:17f0 at PCI revision 0x10, 0x11 or 0x20), not by this name table, so the patch changes no binding: a matching NPU binds under a generic name without it. That this chip matches is INFERRED (one user report of 1022:17f0 on a 7.2.8 kernel; no primary source for its revision), which is why step 5 records it. Kernel 7.0 has no name table at all, so the patch cannot apply to it. The in-tree amdxdna driver and the NPU firmware already ship in 26.04 (linux-modules-7.0.0-*-generic, linux-firmware-amd-misc). The only Linux NPU runtime is FastFlowLM (AMD/ROCm since v1.0.0, 2026-08-11; v1.0.7 has an Ubuntu 26.04 package whose XRT libraries are in universe); Lemonade reaches the NPU only through it</t>
        </is>
      </c>
      <c r="C19" s="11" t="inlineStr">
        <is>
          <t>Nothing ATLAS runs gains from it. No NPU build of bge-m3 or bge-reranker-v2-m3; the router model exists only in FastFlowLM's own 4-bit format and community figures put the NPU several times slower than the iGPU; the NPU shares the same 192 GB and the same bandwidth, so moving work to it frees nothing. FastFlowLM does not list this chip, runs closed-source NPU kernels under licence terms that contradict each other (README "free for any use", TERMS.md a USD 10M revenue threshold), loads one model per process and downloads models from Hugging Face, and the community container known to work needs seccomp=unconfined, unlimited memlock and a world-writable /dev/accel/accel0, where ATLAS's service containers drop their capabilities and keep the default seccomp profile (the one exception is Phase 4: if V11 shows on this node that the GPU self-test fails under the default profile and passes without it, Phase 4's GPU test containers run with seccomp=unconfined, recorded and warned). Getting Linux 7.4 code would mean leaving the GA kernel (3.3, S45) for a name</t>
        </is>
      </c>
      <c r="D19" s="11" t="inlineStr">
        <is>
          <t>FastFlowLM (or Lemonade) lists Gorgon Halo / Ryzen AI Max 400 and Ubuntu 26.04 as supported; its licence is settled in writing; an NPU build of a model ATLAS uses appears; a like-for-like speech-to-text measurement on Strix Halo or Gorgon Halo beats the CPU path on latency or energy without accuracy loss (Whisper is the only plausible candidate); a runtime that works under ATLAS's container hardening with models installed offline. Separately: a Gorgon Halo NPU fix in the 26.04 GA kernel by SRU (Launchpad bug 2169534, title seen only), or amdxdna errors in the step-5 record, which the normal SRU flow handles (blacklisting amdxdna is the fallback if it ever misbehaves)</t>
        </is>
      </c>
    </row>
    <row r="20">
      <c r="A20" s="11" t="inlineStr">
        <is>
          <t>W-PERFOPT: AMD IOMMU "PerfOpt" for integrated GPUs (reviewed 2026-10-09)</t>
        </is>
      </c>
      <c r="B20" s="11" t="inlineStr">
        <is>
          <t>A Linux 7.4 change that lets the iGPU bypass IOMMU translation when it is in identity mode (amdgpu.iommu_perfopt=0 turns it off)</t>
        </is>
      </c>
      <c r="C20" s="11" t="inlineStr">
        <is>
          <t>Not in the 7.0 kernel. Reported gains disagree (18 to 23% in one report, a typical 2 to 4% on Strix Halo in another), and it switches off the IOMMU's containment of GPU memory access (ATS, PRI, PASID and SVA disabled) on a node that enables the IOMMU (3.2); its merge was not confirmed from a primary source</t>
        </is>
      </c>
      <c r="D20" s="11" t="inlineStr">
        <is>
          <t>It reaches the 26.04 GA kernel by SRU, or independent llama.cpp Vulkan benchmarks on Strix or Gorgon Halo show at least 10% with the DMA trade-off reviewed; or ATLAS deliberately changes kernel line (W-KERNEL)</t>
        </is>
      </c>
    </row>
    <row r="21">
      <c r="A21" s="11" t="inlineStr">
        <is>
          <t>W-KERNEL: newer kernel lines (reviewed 2026-10-09)</t>
        </is>
      </c>
      <c r="B21" s="11" t="inlineStr">
        <is>
          <t>The 26.04 HWE kernels: the 26.10 kernel (7.3) is expected with the 26.04.2 point release (INFERRED; milestone 2027-02-18, possibly in -updates a month earlier); 26.04.3 the 27.04 kernel, the first stock Ubuntu kernel built on 7.4 code, around August 2027 by precedent; the line settles on the 28.04 kernel at 26.04.5 (about August or September 2028). The OEM kernels (linux-oem-26.04, -26.04a, -26.04b) are still 7.0-based with a shorter life</t>
        </is>
      </c>
      <c r="C21" s="11" t="inlineStr">
        <is>
          <t>The GA line stays on 7.0, the kernel the Section 3.3 parameters were validated on, with standard support to May 2031. The HWE line moves to a new kernel series about every six months until 2028, each a re-validation of V3a, V11 and V22 on an unattended node. Day 1 holds the node on GA (S45)</t>
        </is>
      </c>
      <c r="D21" s="11" t="inlineStr">
        <is>
          <t>A V-check or a driver feature that only a newer kernel provides, decided by the Principal as a deliberate change of line; then V3a, V11, V22, W-NPU and W-PERFOPT are re-tested together</t>
        </is>
      </c>
    </row>
    <row r="22">
      <c r="A22" s="2" t="inlineStr">
        <is>
          <t>Raised by the report 'Linux 7.4 to support the NPU on Ryzen AI Max 400 Gorgon Halo' (2026-09-30): a device-name patch with nothing to adopt. Day 1 records the NPU and the kernel line in Phase 1 step 5 and holds the GA 7.0 kernel line in step 4 (S45).</t>
        </is>
      </c>
    </row>
    <row r="24">
      <c r="A24" s="3" t="inlineStr">
        <is>
          <t>Memory budget</t>
        </is>
      </c>
    </row>
    <row r="25">
      <c r="A25" s="10" t="inlineStr">
        <is>
          <t>Consumer</t>
        </is>
      </c>
      <c r="B25" s="10" t="inlineStr">
        <is>
          <t>Budget</t>
        </is>
      </c>
      <c r="C25" s="10" t="inlineStr">
        <is>
          <t>Notes</t>
        </is>
      </c>
    </row>
    <row r="26">
      <c r="A26" s="11" t="inlineStr">
        <is>
          <t>Ubuntu Server, XFCE, Docker, Cockpit</t>
        </is>
      </c>
      <c r="B26" s="11" t="inlineStr">
        <is>
          <t>4 GB</t>
        </is>
      </c>
      <c r="C26" s="11" t="inlineStr">
        <is>
          <t>XFCE adds roughly 0.5 GB over the headless figure in v0.1</t>
        </is>
      </c>
    </row>
    <row r="27">
      <c r="A27" s="11" t="inlineStr">
        <is>
          <t>Open WebUI, ChromaDB, graph store, embedding model</t>
        </is>
      </c>
      <c r="B27" s="11" t="inlineStr">
        <is>
          <t>4 GB</t>
        </is>
      </c>
      <c r="C27" s="11" t="inlineStr"/>
    </row>
    <row r="28">
      <c r="A28" s="11" t="inlineStr">
        <is>
          <t>Eleanor's resident router model, 4B class</t>
        </is>
      </c>
      <c r="B28" s="11" t="inlineStr">
        <is>
          <t>4 GB</t>
        </is>
      </c>
      <c r="C28" s="11" t="inlineStr">
        <is>
          <t>Always loaded</t>
        </is>
      </c>
    </row>
    <row r="29">
      <c r="A29" s="11" t="inlineStr">
        <is>
          <t>Kokoro, Whisper Large-v3-Turbo, PyAnnote</t>
        </is>
      </c>
      <c r="B29" s="11" t="inlineStr">
        <is>
          <t>3 GB</t>
        </is>
      </c>
      <c r="C29" s="11" t="inlineStr">
        <is>
          <t>Always loaded</t>
        </is>
      </c>
    </row>
    <row r="30">
      <c r="A30" s="11" t="inlineStr">
        <is>
          <t>Orchestrator, Celery workers, Redis, Sentinel, ntfy, WG-Easy</t>
        </is>
      </c>
      <c r="B30" s="11" t="inlineStr">
        <is>
          <t>1–2 GB</t>
        </is>
      </c>
      <c r="C30" s="11" t="inlineStr"/>
    </row>
    <row r="31">
      <c r="A31" s="11" t="inlineStr">
        <is>
          <t>Always-resident subtotal</t>
        </is>
      </c>
      <c r="B31" s="11" t="inlineStr">
        <is>
          <t>~17 GB</t>
        </is>
      </c>
      <c r="C31" s="11" t="inlineStr"/>
    </row>
    <row r="32">
      <c r="A32" s="11" t="inlineStr">
        <is>
          <t>Usable for engines</t>
        </is>
      </c>
      <c r="B32" s="11" t="inlineStr">
        <is>
          <t>~164 GiB (expected)</t>
        </is>
      </c>
      <c r="C32" s="11" t="inlineStr">
        <is>
          <t>The memory pool minus the resident set above (v0.3.4 said ~180 GB minus ~17 GB, ~170 GB). The Arbiter computes it in GiB as the smaller of the GTT total and MemTotal (kernel 7.0.0-38 reports the requested 192 GiB, more than the node has; S47) minus the GPU-side resident set it measures (the three small models, about 6 to 8 GiB) minus a fixed 16 GiB reserve for the CPU-side rows above (about 12 GB) plus transient CPU work and kernel overhead, which the GPU memory counter never sees (v0.3.5, S44, S48). MemTotal is the real limit, every page of it able to hold GTT memory, because Phase 1 step 4 also puts kho=off on the kernel line (S49): with kexec handover on, as Ubuntu's 7.0 kernel has it by default, about 12 to 14 GiB of MemTotal (about 13 expected, INFERRED) would be CMA scratch that GTT pages can never use, so the pool would overstate what engines can get by that much and the Apex engine's f16 and q8_0 rungs would likely fail for want of memory in Phase 3 although the Arbiter granted them; V3a fails while any of it is set aside, and kho=off leaves MemTotal itself unchanged. MemTotal is expected near 187 to 188 GiB once Phase 1 step 4 has removed the 4.25 GiB crash-kernel reservation that kdump-tools puts on the kernel line (192 GiB less the UMA carve-out, 512 MiB at the BIOS minimum of 3.2, the kernel's page map of about 3 GiB and about 0.5 GiB of firmware and kernel; an estimate until V3a records the real figure, S48). The budget is then (187 to 188) − (6 to 8) − 16 = 163 to 166 GiB, about 164 GiB expected. The Apex engine's largest KV-ladder rungs (q8_0 160.3 GiB, f16 160.0 GiB, S2) fit while MemTotal is at least 160.3 + 16 + (6 to 8) = about 182.3 to 184.3 GiB, which leaves about 3 to 5 GiB to spare (2.7 to 5.7 at the extremes of the ranges). With the reservation still in place MemTotal would be about 183 to 184 GiB, below that threshold at the larger resident set (183.5 − 8 − 16 = 159.5 GiB refuses the f16 and q8_0 rungs), so V3a fails on any reserved crash-kernel memory. Every figure in the table below is measured against this budget, not against the raw 192 GB. VERIFY V3 on first boot before anything depends on it</t>
        </is>
      </c>
    </row>
    <row r="33">
      <c r="A33" s="2" t="inlineStr">
        <is>
          <t>v0.3.5 (S44, S48, S49): the Engine Arbiter budgets from min(GTT total, MemTotal) and keeps a 16 GiB host reserve for what the GPU memory counter never sees: the CPU-side rows (about 12 GB) plus transient CPU work and kernel overhead. It fits every Apex KV-ladder rung; at the larger GPU resident set (about 7-8 GiB) the f16 and q8_0 rungs fit only because Phase 1 step 4 removes the 4.25 GiB that kdump-tools reserves for a crash kernel (option (c), decided by the Principal on 2026-10-10), which V3a proves. MemTotal is the real limit only because step 4 also puts kho=off on the kernel line (S49, decided the same day): with kexec handover on, Ubuntu's 7.0 kernel would keep about 13 GiB of MemTotal as CMA scratch that GTT pages cannot use, and V3a fails while any of it is set aside. ATLAS_ARBITER_HEADROOM_GIB in orchestrator.env changes the reserve (S44, S47).</t>
        </is>
      </c>
    </row>
    <row r="35">
      <c r="A35" s="3" t="inlineStr">
        <is>
          <t>What fits together</t>
        </is>
      </c>
    </row>
    <row r="36">
      <c r="A36" s="10" t="inlineStr">
        <is>
          <t>Combination</t>
        </is>
      </c>
      <c r="B36" s="10" t="inlineStr">
        <is>
          <t>Total</t>
        </is>
      </c>
      <c r="C36" s="10" t="inlineStr">
        <is>
          <t>Verdict</t>
        </is>
      </c>
    </row>
    <row r="37">
      <c r="A37" s="11" t="inlineStr">
        <is>
          <t>gpt-oss-120b + Qwen2.5-VL-72B, both resident</t>
        </is>
      </c>
      <c r="B37" s="11" t="inlineStr">
        <is>
          <t>142 GB</t>
        </is>
      </c>
      <c r="C37" s="11" t="inlineStr">
        <is>
          <t>~22 GiB for both caches (the projected pair, caches included, is 157.7 GiB). The everyday pairing: text and vision with no swap between them. The vision engine runs at 2 slots rather than 8 while co-resident (Section 4.3)</t>
        </is>
      </c>
    </row>
    <row r="38">
      <c r="A38" s="11" t="inlineStr">
        <is>
          <t>gpt-oss-120b + gpt-oss-120b abliterated</t>
        </is>
      </c>
      <c r="B38" s="11" t="inlineStr">
        <is>
          <t>126 GB</t>
        </is>
      </c>
      <c r="C38" s="11" t="inlineStr">
        <is>
          <t>~38 GiB for both caches</t>
        </is>
      </c>
    </row>
    <row r="39">
      <c r="A39" s="11" t="inlineStr">
        <is>
          <t>Nemotron Q8_0 alone</t>
        </is>
      </c>
      <c r="B39" s="11" t="inlineStr">
        <is>
          <t>120–123 GB</t>
        </is>
      </c>
      <c r="C39" s="11" t="inlineStr">
        <is>
          <t>Comfortable, ~41 GiB for cache</t>
        </is>
      </c>
    </row>
    <row r="40">
      <c r="A40" s="11" t="inlineStr">
        <is>
          <t>Qwen3.5-122B Q8_0 alone</t>
        </is>
      </c>
      <c r="B40" s="11" t="inlineStr">
        <is>
          <t>130 GB</t>
        </is>
      </c>
      <c r="C40" s="11" t="inlineStr">
        <is>
          <t>Comfortable, ~34 GiB for cache</t>
        </is>
      </c>
    </row>
    <row r="41">
      <c r="A41" s="11" t="inlineStr">
        <is>
          <t>Nemotron Q8_0 + gpt-oss-120b, Ren and Arthur together</t>
        </is>
      </c>
      <c r="B41" s="11" t="inlineStr">
        <is>
          <t>186 GB</t>
        </is>
      </c>
      <c r="C41" s="11" t="inlineStr">
        <is>
          <t>Does not fit. Accepted by the Principal: hemispheres swap rather than co-reside. Nemotron at Q6_K (~95 GB) would restore it if ever wanted</t>
        </is>
      </c>
    </row>
    <row r="42">
      <c r="A42" s="11" t="inlineStr">
        <is>
          <t>DeepSeek V4 Flash UD-Q4_K_XL</t>
        </is>
      </c>
      <c r="B42" s="11" t="inlineStr">
        <is>
          <t>155 GB</t>
        </is>
      </c>
      <c r="C42" s="11" t="inlineStr">
        <is>
          <t>Runs alone. The Arbiter unloads any co-resident engine first. About 8 to 10 GiB margin, so its context is capped accordingly; every rung of its KV ladder (at most 160.3 GiB projected, S2) fits the budget. At the larger GPU resident set (about 7 to 8 GiB) the f16 and q8_0 rungs fit only because step 4 removes the crash-kernel reservation (S48), and with kexec handover on they would likely run out of memory that GTT pages can use (S49)</t>
        </is>
      </c>
    </row>
    <row r="43">
      <c r="A43" s="2" t="inlineStr">
        <is>
          <t>Two engines may be resident; exactly one generates at a time, everywhere, including Celery jobs (Section 4.2, C26).</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2026-10-11T02:29:37Z</dcterms:created>
  <dcterms:modified xsi:type="dcterms:W3CDTF">2026-10-11T02:29:37Z</dcterms:modified>
</cp:coreProperties>
</file>