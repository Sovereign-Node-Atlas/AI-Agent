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Decisions'!$A$4:$F$31</definedName>
    <definedName name="_xlnm._FilterDatabase" localSheetId="2" hidden="1">'2 Resolutions'!$A$4:$E$34</definedName>
    <definedName name="_xlnm._FilterDatabase" localSheetId="3" hidden="1">'3 Risks'!$A$4:$G$37</definedName>
    <definedName name="_xlnm._FilterDatabase" localSheetId="4" hidden="1">'4 Verification'!$A$4:$E$29</definedName>
    <definedName name="_xlnm._FilterDatabase" localSheetId="5" hidden="1">'5 Checklist'!$A$4:$E$39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v0.4.0 (2026-10-17), built from it by scripts/day1/tools/build-baseline-workbook.py (D-27). v0.4.0 records the action register the Principal returned on 2026-10-16, every row approved as recommended (P-10 with the Principal's change: Eleanor's router stays at 4B for classification only, and her own persona work moves to GLM-5.3-Flash; the questions on P-10 and on memory headroom, N-01 and N-03, are answered in the document's 5.3, 4.1 and 4.2): llama.cpp re-pinned to build tag b11474, with the old pin v0.4.1 kept only for the output-parity test V25 (sheet 4); GLM-5.3-Flash UD-IQ4_XS (with its glm5v projector, also the vision engine and the long-document route) and DeepSeek-V4-Flash-0731 UD-Q8_K_XL (Arthur and the Apex) as the Day 1 seats, gpt-oss-120b as the fast utility and fallback floor, the 4B router unchanged; one LLM seat resident at a time; the Engine Arbiter budgeting exact file bytes; the Qwen3 4B embedder and reranker on the CPU, replacing the bge pair before Day 1; the Phase 3 pull cut to about 448 GB; and pyannote community-1 now (C-06). D16 to D27 on sheet 1 record the decisions (D16 to D18 reopen D4, D10 and D12) and C28 to C30 on sheet 2 supersede C23, C25 and C26; R29 to R33 on sheet 3, with R4, R17, R19 and R20 restated, were acknowledged by the Principal on 2026-10-17, the day the Principal also approved the six RAM fixes (S55: an explicit prompt-cache cap on every engine, a 4 GiB /tmp, at most 8 Celery cpu workers, memory caps on Kokoro, speaches and Docling, an order for the out-of-memory killer, and a seat whose start failed stopped before its reservation goes) and confirmed V25's pass marks, with no new version number. The specialist seats (Intern-S1, Ling-3.0-flash-Fin, Baichuan-M3, Qwen3-Coder-Next), slot save and restore, swap batching, the speech, image and OCR companions, the EmbeddingGemma 2 side index, the Qwen3.8-Flash-Next and Nemotron 3 Super pulls, the drafters and the DeepSeek V4.1 trial are phased after Day 1, each with its to-do; where an approved row leaves an input to the Principal (the decode floors, the context targets, the test sets), its default is built and a to-do raised (sheet 5). The uncensored-seat items (D-07, D-08, D-09, D-58, N-10, P-05, P-17, S-05) are unchanged by this revision and remain the Principal's to configure. Until v0.4.0 this workbook was the closed v0.3.5 record of 2026-10-12: Ubuntu Server kept over Fedora 44 KDE Plasma (C27), the crash-kernel memory reclaimed with panic=10 (S48), kexec handover off (S49), the hardware watchdog (S50), torchaudio pinned so Phase 4 stays on ROCm 10.0.0 (S51), every request kept inside its engine's slot with the Phase 3 memory records (S52), and the pruning fixes (S53), with every decision and resolution confirmed and every risk acknowledged. The Day 1 scripts under scripts/day1 never stop on a missing input from the Principal (they ask once, defer, and keep a to-do list). Nothing has been executed.</t>
        </is>
      </c>
    </row>
    <row r="4">
      <c r="A4" s="3" t="inlineStr">
        <is>
          <t>How to use this workbook</t>
        </is>
      </c>
    </row>
    <row r="5">
      <c r="A5" s="4" t="inlineStr">
        <is>
          <t>1. Sheets 1, 2 and 3 are a record of your answers of 2026-09-21, 2026-10-05 (D15: Secure Boot enabled), 2026-10-08 (C27: Ubuntu kept; R22 to R25 acknowledged), 2026-10-13 (R26 to R28 acknowledged), 2026-10-16 (the action register: D16 to D27 and C28 to C30) and 2026-10-17 (R29 to R33 and the restated R4, R17, R19 and R20 acknowledged). Nothing on them needs you now. Sheet 5 records the Secure Boot BIOS setting made and the USB recovery drive in hand (both confirmed 2026-10-13) and lists the optional items the scripts ask for at a prompt and the inputs v0.4.0 leaves to you, each with the default already built.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the Day 1 and phased engines, cabinet, domains, task forces, integrations, voice, multimodal, governance, Day 1 and its test plan) for checking against.</t>
        </is>
      </c>
    </row>
    <row r="10">
      <c r="A10" s="4" t="inlineStr">
        <is>
          <t>6. Outstanding before Day 1: nothing required. The blank sheet 5 rows are optional or wait until after Day 1, and can be given at the prompt or left for the live ATLAS; sheet 5 row 24 still asks you to confirm that the installer's encryption option was taken (if it was not, Day 1 warns and records a to-do, never a stop).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Decisions'!$A$5:$A$31)</f>
        <v/>
      </c>
      <c r="C21" s="12">
        <f>B21-G21</f>
        <v/>
      </c>
      <c r="D21" s="12">
        <f>COUNTIF('1 Decisions'!$E$5:$E$31,"Confirmed")</f>
        <v/>
      </c>
      <c r="E21" s="12">
        <f>0</f>
        <v/>
      </c>
      <c r="F21" s="12">
        <f>COUNTIF('1 Decisions'!$E$5:$E$31,"Changed my mind")</f>
        <v/>
      </c>
      <c r="G21" s="12">
        <f>COUNTBLANK('1 Decisions'!$E$5:$E$31)</f>
        <v/>
      </c>
    </row>
    <row r="22">
      <c r="A22" s="11" t="inlineStr">
        <is>
          <t>2 Resolutions</t>
        </is>
      </c>
      <c r="B22" s="12">
        <f>COUNTA('2 Resolutions'!$A$5:$A$34)</f>
        <v/>
      </c>
      <c r="C22" s="12">
        <f>B22-G22</f>
        <v/>
      </c>
      <c r="D22" s="12">
        <f>COUNTIF('2 Resolutions'!$D$5:$D$34,"Accept")</f>
        <v/>
      </c>
      <c r="E22" s="12">
        <f>0</f>
        <v/>
      </c>
      <c r="F22" s="12">
        <f>COUNTIF('2 Resolutions'!$D$5:$D$34,"Disagree - return to decisions")</f>
        <v/>
      </c>
      <c r="G22" s="12">
        <f>COUNTBLANK('2 Resolutions'!$D$5:$D$34)</f>
        <v/>
      </c>
    </row>
    <row r="23">
      <c r="A23" s="11" t="inlineStr">
        <is>
          <t>3 Risks</t>
        </is>
      </c>
      <c r="B23" s="12">
        <f>COUNTA('3 Risks'!$A$5:$A$37)</f>
        <v/>
      </c>
      <c r="C23" s="12">
        <f>B23-G23</f>
        <v/>
      </c>
      <c r="D23" s="12">
        <f>COUNTIF('3 Risks'!$F$5:$F$37,"Yes")</f>
        <v/>
      </c>
      <c r="E23" s="12">
        <f>0</f>
        <v/>
      </c>
      <c r="F23" s="12">
        <f>COUNTIF('3 Risks'!$F$5:$F$37,"Discuss")</f>
        <v/>
      </c>
      <c r="G23" s="12">
        <f>COUNTBLANK('3 Risks'!$F$5:$F$37)</f>
        <v/>
      </c>
    </row>
    <row r="24">
      <c r="A24" s="11" t="inlineStr">
        <is>
          <t>4 Verification</t>
        </is>
      </c>
      <c r="B24" s="12">
        <f>COUNTA('4 Verification'!$A$5:$A$29)</f>
        <v/>
      </c>
      <c r="C24" s="12">
        <f>B24-G24</f>
        <v/>
      </c>
      <c r="D24" s="12">
        <f>COUNTIF('4 Verification'!$D$5:$D$29,"Pass")</f>
        <v/>
      </c>
      <c r="E24" s="12">
        <f>COUNTIF('4 Verification'!$D$5:$D$29,"Deferred")</f>
        <v/>
      </c>
      <c r="F24" s="12">
        <f>COUNTIF('4 Verification'!$D$5:$D$29,"Fail")</f>
        <v/>
      </c>
      <c r="G24" s="12">
        <f>COUNTBLANK('4 Verification'!$D$5:$D$29)+COUNTIF('4 Verification'!$D$5:$D$29,"Not yet run")</f>
        <v/>
      </c>
    </row>
    <row r="25">
      <c r="A25" s="11" t="inlineStr">
        <is>
          <t>5 Checklist</t>
        </is>
      </c>
      <c r="B25" s="12">
        <f>COUNTA('5 Checklist'!$A$5:$A$39)</f>
        <v/>
      </c>
      <c r="C25" s="12">
        <f>B25-G25</f>
        <v/>
      </c>
      <c r="D25" s="12">
        <f>COUNTIF('5 Checklist'!$D$5:$D$39,"Yes")+COUNTIF('5 Checklist'!$D$5:$D$39,"N/A")</f>
        <v/>
      </c>
      <c r="E25" s="12">
        <f>0</f>
        <v/>
      </c>
      <c r="F25" s="12">
        <f>COUNTIF('5 Checklist'!$D$5:$D$39,"No")</f>
        <v/>
      </c>
      <c r="G25" s="12">
        <f>COUNTBLANK('5 Checklist'!$D$5:$D$39)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twenty-seven are closed. D15 (Secure Boot and the TPM binding) was decided on 2026-10-05 as option (a), Secure Boot enabled in the BIOS. D16 to D27 (v0.4.0) record the action register the Principal returned on 2026-10-16, every row approved as recommended (P-10 with the Principal's change); D16, D17 and D18 reopen D4 (the retrieval models), D10 (the vision engine) and D12 (Meditron), whose rows say so in their Note.</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 reopened in v0.4.0 by D16</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 reopened in v0.4.0 by D17</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 reopened in v0.4.0 by D18</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enabled it in the BIOS (confirmed 2026-10-13); it is a precondition in Section 22. Should pre-flight find it off, it warns, every V2 row notes the state and the to-do secure-boot stays open (no acknowledgement key exists any more; options (b) and (c) are withdrawn)</t>
        </is>
      </c>
      <c r="D19" s="11" t="inlineStr">
        <is>
          <t>Decided by the Principal: (a). R23 mitigated: the BIOS setting confirmed made on 2026-10-13; pre-flight verifies it on Day 1</t>
        </is>
      </c>
      <c r="E19" s="16" t="inlineStr">
        <is>
          <t>Confirmed</t>
        </is>
      </c>
      <c r="F19" s="17" t="n"/>
    </row>
    <row r="20">
      <c r="A20" s="12" t="inlineStr">
        <is>
          <t>D16</t>
        </is>
      </c>
      <c r="B20" s="11" t="inlineStr">
        <is>
          <t>Retrieval models (reopens D4)</t>
        </is>
      </c>
      <c r="C20" s="11" t="inlineStr">
        <is>
          <t>Qwen3.5-4B stays the router (C-01), for classification only (P-10). Qwen3-Embedding-4B and Qwen3-Reranker-4B Q8_0 replace bge-m3 and bge-reranker-v2-m3, on the CPU (D-14 option (e)), adopted before Day 1 so the empty corpus is indexed with the new embedder (D-45 option (a)), the 1024-dim schema kept by truncation (C-02, C-03), the embedder served at a 4,096-token context with -ub 2048, reduced from C-02's -ub 8192 for the D-14 (e) budget (5.3; a T-15 to-do). EmbeddingGemma 2 is phased as an optional side index, to be kept or dropped (D-60)</t>
        </is>
      </c>
      <c r="D20" s="11" t="inlineStr">
        <is>
          <t>Approved by the Principal on 2026-10-16 in the returned action register, as recommended (5.3, 10.1)</t>
        </is>
      </c>
      <c r="E20" s="16" t="inlineStr">
        <is>
          <t>Confirmed</t>
        </is>
      </c>
      <c r="F20" s="17" t="n"/>
    </row>
    <row r="21">
      <c r="A21" s="12" t="inlineStr">
        <is>
          <t>D17</t>
        </is>
      </c>
      <c r="B21" s="11" t="inlineStr">
        <is>
          <t>Vision engine (reopens D10)</t>
        </is>
      </c>
      <c r="C21" s="11" t="inlineStr">
        <is>
          <t>GLM-5.3-Flash with its glm5v projector on its own unit, after the re-pin (D-20 option (a)); Qwen2.5-VL-72B retired (D-21 option (a)); no light co-resident vision tier; the OCR companion phased (C-04)</t>
        </is>
      </c>
      <c r="D21" s="11" t="inlineStr">
        <is>
          <t>Approved by the Principal on 2026-10-16 in the returned action register, as recommended (5.1, 14.4, C29)</t>
        </is>
      </c>
      <c r="E21" s="16" t="inlineStr">
        <is>
          <t>Confirmed</t>
        </is>
      </c>
      <c r="F21" s="17" t="n"/>
    </row>
    <row r="22">
      <c r="A22" s="12" t="inlineStr">
        <is>
          <t>D18</t>
        </is>
      </c>
      <c r="B22" s="11" t="inlineStr">
        <is>
          <t>Medical cross-check (reopens D12)</t>
        </is>
      </c>
      <c r="C22" s="11" t="inlineStr">
        <is>
          <t>Meditron-70B retired (D-21 option (a)). Baichuan-M3-235B becomes Minerva's cross-check (D-15 option (a)), phased after Day 1 at the rung D-16 sets (default Q5_K_S at about 23K tokens, a to-do); MedGemma-27B dropped. On Day 1 Arthur on DeepSeek-V4-Flash-0731 checks her drafts (9.2)</t>
        </is>
      </c>
      <c r="D22" s="11" t="inlineStr">
        <is>
          <t>Approved by the Principal on 2026-10-16 in the returned action register, as recommended (5.1, 9.2)</t>
        </is>
      </c>
      <c r="E22" s="16" t="inlineStr">
        <is>
          <t>Confirmed</t>
        </is>
      </c>
      <c r="F22" s="17" t="n"/>
    </row>
    <row r="23">
      <c r="A23" s="12" t="inlineStr">
        <is>
          <t>D19</t>
        </is>
      </c>
      <c r="B23" s="11" t="inlineStr">
        <is>
          <t>llama.cpp pin, baseline revision and Day 1 scope</t>
        </is>
      </c>
      <c r="C23" s="11" t="inlineStr">
        <is>
          <t>Build tag b11474 (D-01 option (c)), with v0.4.1 kept for the parity test V25 (3.4); a new baseline version, v0.4.0, with D16 onward, C28 onward and S54 (D-25 option (a)); Day 1 takes the pin, the roster, the residency rule, the Arbiter's units and the Phase 3 list, and the rest is phased (D-26 option (c)), with one exception, pyannote community-1 now (C-06); the workbook builder kept in the repository beside scripts/day1/tools/fill-workbook.py (D-27 option (a))</t>
        </is>
      </c>
      <c r="D23" s="11" t="inlineStr">
        <is>
          <t>Approved by the Principal on 2026-10-16 in the returned action register, as recommended (Header, 3.4, 23)</t>
        </is>
      </c>
      <c r="E23" s="16" t="inlineStr">
        <is>
          <t>Confirmed</t>
        </is>
      </c>
      <c r="F23" s="17" t="n"/>
    </row>
    <row r="24">
      <c r="A24" s="12" t="inlineStr">
        <is>
          <t>D20</t>
        </is>
      </c>
      <c r="B24" s="11" t="inlineStr">
        <is>
          <t>Seats, quantisation and the KV cache</t>
        </is>
      </c>
      <c r="C24" s="11" t="inlineStr">
        <is>
          <t>GLM-5.3-Flash UD-IQ4_XS for the professional seats, vision and long documents, provisional until the KLD run (D-02 option (c), D-10 option (a)); DeepSeek-V4-Flash-0731 UD-Q8_K_XL for Arthur and the Apex (D-11 option (a), D-13 option (b)); gpt-oss-120b as the fast utility and fallback floor, on its F16-trunk file (D-12 option (a), D-59 option (b)); Qwen3.5-122B-A10B retired (D-21 option (a)); the Deep Think pair GLM-5.3-Flash and DeepSeek-V4-Flash-0731 (D-22 option (a)); the cache at f16 where it is cheap, q8_0 elsewhere, q4_0 nowhere, GLM's provisional until T-04 (D-29 option (a)); a fixed reasoning setting per seat, chosen after the Phase 3 quality and KLD runs (T-03, to-do kld-run), with the vendor sampling recorded in each engines.json entry (D-30 option (b)); provisional Day 1 settings: DeepSeek-V4-Flash-0731 reasoning on at high effort, gpt-oss-120b high effort; dense 70B to 123B and 3-bit-only engines excluded (D-24 option (a)) and Mistral Large 2 Uncensored rejected (D-06 option (a)); test sets for the seats with no benchmark, supplied by the Principal (D-49 option (a), a to-do)</t>
        </is>
      </c>
      <c r="D24" s="11" t="inlineStr">
        <is>
          <t>Approved by the Principal on 2026-10-16 in the returned action register, as recommended; P-10 with the Principal's change and question, answered in 5.3 (5.1, 6.1, 6.2, 9.1)</t>
        </is>
      </c>
      <c r="E24" s="16" t="inlineStr">
        <is>
          <t>Confirmed</t>
        </is>
      </c>
      <c r="F24" s="17" t="n"/>
    </row>
    <row r="25">
      <c r="A25" s="12" t="inlineStr">
        <is>
          <t>D21</t>
        </is>
      </c>
      <c r="B25" s="11" t="inlineStr">
        <is>
          <t>Arbiter units and residency</t>
        </is>
      </c>
      <c r="C25" s="11" t="inlineStr">
        <is>
          <t>Exact file bytes in GiB (D-31 option (a)); one LLM seat resident at a time, the limit a setting (D-32 option (a)); GLM-5.3-Flash the default resident seat, with batching queued work by engine phased (D-23 option (a)); slot save and restore phased until T-13 (D-44 option (a)); each seat's slots and context set from the Phase 3 measurement (D-48); a Phase 4 load evicts the seat (D-50 option (a))</t>
        </is>
      </c>
      <c r="D25" s="11" t="inlineStr">
        <is>
          <t>Approved by the Principal on 2026-10-16 in the returned action register, as recommended (4.1, 4.2, 4.4, 6.3)</t>
        </is>
      </c>
      <c r="E25" s="16" t="inlineStr">
        <is>
          <t>Confirmed</t>
        </is>
      </c>
      <c r="F25" s="17" t="n"/>
    </row>
    <row r="26">
      <c r="A26" s="12" t="inlineStr">
        <is>
          <t>D22</t>
        </is>
      </c>
      <c r="B26" s="11" t="inlineStr">
        <is>
          <t>Phase 3, disk and gates</t>
        </is>
      </c>
      <c r="C26" s="11" t="inlineStr">
        <is>
          <t>V10 records decode beside the projections and fails only below a per-seat floor, with a deferrable V22 row for every newer architecture (D-33 option (c)); the floors and the deep-tier floor set by the Principal, default none, to-do decode-floors (D-47 option (b)); the kernel line kept and V3b's floor raised to the largest seat (D-36 option (c)); about 1.9 TB approved on the 8 TB drive (D-41 option (a)); only the core seats pulled in Phase 3 (D-42 option (b))</t>
        </is>
      </c>
      <c r="D26" s="11" t="inlineStr">
        <is>
          <t>Approved by the Principal on 2026-10-16 in the returned action register, as recommended (15.4, 17, 21)</t>
        </is>
      </c>
      <c r="E26" s="16" t="inlineStr">
        <is>
          <t>Confirmed</t>
        </is>
      </c>
      <c r="F26" s="17" t="n"/>
    </row>
    <row r="27">
      <c r="A27" s="12" t="inlineStr">
        <is>
          <t>D23</t>
        </is>
      </c>
      <c r="B27" s="11" t="inlineStr">
        <is>
          <t>Routing, cross-checks and fallbacks</t>
        </is>
      </c>
      <c r="C27" s="11" t="inlineStr">
        <is>
          <t>The specialist seats reached through director overrides and task-force presets, never a domain card, with no new prefix (D-37 option (a)); [ARTHUR:LONG] to GLM-5.3-Flash, the 24,000-token trigger kept until its profile is measured, and the automatic trigger taking a document only to a per-slot window no smaller than the routed engine's, so Arthur's long documents stay on DeepSeek-V4-Flash-0731's 131,072-token slot until D-48 gives GLM a longer one (D-38 option (a), 7.1); every engine that is not uncensored may serve a strong cross-check, the Apex included, batched by engine once the batching lands (D-39 option (a)); a recorded fallback per seat, gpt-oss-120b where the runner-up is phased (D-40 option (a)); deep runs only on the Principal's explicit acceptance, a classifier-chosen deep run held at the standard tier (D-43 option (a), 9.1)</t>
        </is>
      </c>
      <c r="D27" s="11" t="inlineStr">
        <is>
          <t>Approved by the Principal on 2026-10-16 in the returned action register, as recommended (6.2, 7.1, 8.4, 9.1, 9.2)</t>
        </is>
      </c>
      <c r="E27" s="16" t="inlineStr">
        <is>
          <t>Confirmed</t>
        </is>
      </c>
      <c r="F27" s="17" t="n"/>
    </row>
    <row r="28">
      <c r="A28" s="12" t="inlineStr">
        <is>
          <t>D24</t>
        </is>
      </c>
      <c r="B28" s="11" t="inlineStr">
        <is>
          <t>Specialist seats, phased after Day 1</t>
        </is>
      </c>
      <c r="C28" s="11" t="inlineStr">
        <is>
          <t>Intern-S1 for science (D-17 option (a)); Ling-3.0-flash-Fin for finance (D-18 option (a)); Qwen3-Coder-Next Q8_0 if the Principal wants a dedicated coder seat, otherwise GLM-5.3-Flash codes, and Qwen3.8-27B dropped (D-19); the context targets of the medical and science seats left to the Principal, default Q5_K_S at about 23K tokens (D-16); Qwen3.8-Flash-Next at UD-Q6_K_XL, or UD-Q5_K_XL if the measured budget leaves no room (D-28)</t>
        </is>
      </c>
      <c r="D28" s="11" t="inlineStr">
        <is>
          <t>Approved by the Principal on 2026-10-16 in the returned action register, as recommended; each comes in at the post-Day-1 pull (5.1)</t>
        </is>
      </c>
      <c r="E28" s="16" t="inlineStr">
        <is>
          <t>Confirmed</t>
        </is>
      </c>
      <c r="F28" s="17" t="n"/>
    </row>
    <row r="29">
      <c r="A29" s="12" t="inlineStr">
        <is>
          <t>D25</t>
        </is>
      </c>
      <c r="B29" s="11" t="inlineStr">
        <is>
          <t>Licences</t>
        </is>
      </c>
      <c r="C29" s="11" t="inlineStr">
        <is>
          <t>The Qwen Community License 1.0 (D-03 option (a)), the NVIDIA Nemotron Open Model License (D-04 option (a)) and OpenMDW-1.1 (D-05 option (a)) accepted; the rest accepted with each engine as it is approved (D-34 option (b), D-35 option (a))</t>
        </is>
      </c>
      <c r="D29" s="11" t="inlineStr">
        <is>
          <t>Accepted by the Principal on 2026-10-16 in the returned action register (16.5, 22)</t>
        </is>
      </c>
      <c r="E29" s="16" t="inlineStr">
        <is>
          <t>Confirmed</t>
        </is>
      </c>
      <c r="F29" s="17" t="n"/>
    </row>
    <row r="30">
      <c r="A30" s="12" t="inlineStr">
        <is>
          <t>D26</t>
        </is>
      </c>
      <c r="B30" s="11" t="inlineStr">
        <is>
          <t>The DeepSeek V4.1 trial and its governance, after Day 1</t>
        </is>
      </c>
      <c r="C30" s="11" t="inlineStr">
        <is>
          <t>An evaluation-only trial outside the routed roster, with 0731 kept as the Apex (D-46 option (b)); DwarfStar with antirez's Q2 file first, the Lucebox engine only if that shows promise (D-51 option (a)); an LLM engine on ROCm only inside a pinned container on the inbox driver (D-52 option (b)), with locked memory for that container alone (D-57 option (b)); its sources admitted at build time only, logged (D-53 option (b)); one trial file at a time (D-54 option (a)); of Lucebox's software only its Apache 2.0 engine, at the second stage (D-55 option (b)); lossless accelerations on routed engines, approximate ones only in scored trials (D-56)</t>
        </is>
      </c>
      <c r="D30" s="11" t="inlineStr">
        <is>
          <t>Approved by the Principal on 2026-10-16 in the returned action register, as recommended; its inputs are to-dos (Section 22) (12.5, 15.5, 16.1, 16.3)</t>
        </is>
      </c>
      <c r="E30" s="16" t="inlineStr">
        <is>
          <t>Confirmed</t>
        </is>
      </c>
      <c r="F30" s="17" t="n"/>
    </row>
    <row r="31">
      <c r="A31" s="12" t="inlineStr">
        <is>
          <t>D27</t>
        </is>
      </c>
      <c r="B31" s="11" t="inlineStr">
        <is>
          <t>Hardware, drafters and the watch-list</t>
        </is>
      </c>
      <c r="C31" s="11" t="inlineStr">
        <is>
          <t>No discrete GPU now (D-62 option (a)); no second machine (D-63 option (a)); Lucebox's no-hardware ideas recorded on the watch-list (D-64 option (a)); the drafters kept in the disk set and decided per engine after the node speed tests, native MTP or DSpark only (D-61)</t>
        </is>
      </c>
      <c r="D31" s="11" t="inlineStr">
        <is>
          <t>Approved by the Principal on 2026-10-16 in the returned action register, as recommended (3.7, 15.4, 15.5)</t>
        </is>
      </c>
      <c r="E31" s="16" t="inlineStr">
        <is>
          <t>Confirmed</t>
        </is>
      </c>
      <c r="F31" s="17" t="n"/>
    </row>
  </sheetData>
  <autoFilter ref="A4:F31"/>
  <conditionalFormatting sqref="E5:E31">
    <cfRule type="cellIs" priority="1" operator="equal" dxfId="0">
      <formula>"Confirmed"</formula>
    </cfRule>
    <cfRule type="cellIs" priority="2" operator="equal" dxfId="1">
      <formula>"Changed my mind"</formula>
    </cfRule>
  </conditionalFormatting>
  <dataValidations count="1">
    <dataValidation sqref="E5:E31"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C28 to C30 (v0.4.0: the least-quantised rung that fits each seat alone, one vision engine on the GLM unit, one LLM seat resident at a time), superseding C23, C25 and C26, approved by the Principal on 2026-10-16 in the returned action register.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 *v0.4.0:* that override is now GLM-5.3-Flash, since Qwen3.5-122B-A10B left the roster (6.1)</t>
        </is>
      </c>
      <c r="D10" s="16" t="inlineStr">
        <is>
          <t>Accept</t>
        </is>
      </c>
      <c r="E10" s="17" t="inlineStr">
        <is>
          <t>Override restated in v0.4.0 (GLM-5.3-Flash replaces the retired Qwen3.5-122B-A10B); the addendum is unchanged</t>
        </is>
      </c>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 Superseded by C28 in v0.4.0</t>
        </is>
      </c>
      <c r="D27" s="16" t="inlineStr">
        <is>
          <t>Accept</t>
        </is>
      </c>
      <c r="E27" s="17" t="inlineStr">
        <is>
          <t>Superseded by C28 in v0.4.0 (approved by the Principal 2026-10-16 in the returned action register); kept as the record</t>
        </is>
      </c>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 Superseded by C29 in v0.4.0</t>
        </is>
      </c>
      <c r="D29" s="16" t="inlineStr">
        <is>
          <t>Accept</t>
        </is>
      </c>
      <c r="E29" s="17" t="inlineStr">
        <is>
          <t>Superseded by C29 in v0.4.0 (approved by the Principal 2026-10-16 in the returned action register); kept as the record</t>
        </is>
      </c>
    </row>
    <row r="30">
      <c r="A30" s="12" t="inlineStr">
        <is>
          <t>C26</t>
        </is>
      </c>
      <c r="B30" s="11" t="inlineStr">
        <is>
          <t>"Two engines at once" ambiguous between residency and generation</t>
        </is>
      </c>
      <c r="C30" s="11" t="inlineStr">
        <is>
          <t>Two may be resident; exactly one generates, everywhere, including Celery jobs (4.2). Superseded by C30 in v0.4.0</t>
        </is>
      </c>
      <c r="D30" s="16" t="inlineStr">
        <is>
          <t>Accept</t>
        </is>
      </c>
      <c r="E30" s="17" t="inlineStr">
        <is>
          <t>Superseded by C30 in v0.4.0 (approved by the Principal 2026-10-16 in the returned action register); kept as the record</t>
        </is>
      </c>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row r="32">
      <c r="A32" s="12" t="inlineStr">
        <is>
          <t>C28</t>
        </is>
      </c>
      <c r="B32" s="11" t="inlineStr">
        <is>
          <t>C23's rule (the highest quantisation that leaves working headroom) sized files for a co-resident partner and kept DeepSeek-V4-Flash-0731 at UD-Q4_K_XL on a misread size; the Principal's directives of 2026-10-15 put result quality first</t>
        </is>
      </c>
      <c r="C32" s="11" t="inlineStr">
        <is>
          <t>Supersedes C23 (v0.4.0, approved by the Principal on 2026-10-16 in the returned action register; D-11 (a), D-29 (a), D-59 (b)). Each seat runs the least-quantised rung that fits it alone, with its measured quality cost stated: DeepSeek-V4-Flash-0731 at UD-Q8_K_XL (bit-exact), GLM-5.3-Flash at UD-IQ4_XS (the one lossy rung, provisional until T-03), gpt-oss-120b with an F16 trunk and its native MXFP4 experts; the KV cache at f16 where it is cheap, q8_0 elsewhere and q4_0 nowhere, the abliterated entry unchanged (Section 1, 4.3, 5.1)</t>
        </is>
      </c>
      <c r="D32" s="16" t="inlineStr">
        <is>
          <t>Accept</t>
        </is>
      </c>
      <c r="E32" s="17" t="inlineStr">
        <is>
          <t>New in v0.4.0, approved by the Principal 2026-10-16 in the returned action register (D-11 (a), D-29 (a), D-59 (b))</t>
        </is>
      </c>
    </row>
    <row r="33">
      <c r="A33" s="12" t="inlineStr">
        <is>
          <t>C29</t>
        </is>
      </c>
      <c r="B33" s="11" t="inlineStr">
        <is>
          <t>C25 made Qwen2.5-VL-72B at Q8_0 the one vision engine; with one LLM seat resident, a separate 79 GB vision engine would cost a swap for every image</t>
        </is>
      </c>
      <c r="C33" s="11" t="inlineStr">
        <is>
          <t>Supersedes C25 (v0.4.0, approved by the Principal on 2026-10-16 in the returned action register; D-20 (a), D-21 (a)). Still one vision engine: GLM-5.3-Flash with its glm5v projector on its own unit, so a look costs no swap while GLM is resident. Qwen2.5-VL-72B is retired. The phased OCR companion transcribes and does not reason, so it is not a second vision engine (5.1, 14.4, 15.2)</t>
        </is>
      </c>
      <c r="D33" s="16" t="inlineStr">
        <is>
          <t>Accept</t>
        </is>
      </c>
      <c r="E33" s="17" t="inlineStr">
        <is>
          <t>New in v0.4.0, approved by the Principal 2026-10-16 in the returned action register (D-20 (a), D-21 (a))</t>
        </is>
      </c>
    </row>
    <row r="34">
      <c r="A34" s="12" t="inlineStr">
        <is>
          <t>C30</t>
        </is>
      </c>
      <c r="B34" s="11" t="inlineStr">
        <is>
          <t>C26 read "two engines at once" as two resident and one generating; the two large Day 1 seats hold 147 to 151 GiB of weights each, so neither fits beside any other seat, and one seat at a time is made the rule for every seat</t>
        </is>
      </c>
      <c r="C34" s="11" t="inlineStr">
        <is>
          <t>Supersedes C26 (v0.4.0, approved by the Principal on 2026-10-16 in the returned action register; D-32 (a)). One LLM seat is resident at a time, and exactly one generation runs, everywhere, Celery jobs included. The limit is the setting ATLAS_ARBITER_MAX_RESIDENT (default 1, range 1 to 2), so two-seat residency can return without a code change; the companions, Chatterbox and the Phase 4 engines are not seats (4.2 rules 3 and 7)</t>
        </is>
      </c>
      <c r="D34" s="16" t="inlineStr">
        <is>
          <t>Accept</t>
        </is>
      </c>
      <c r="E34" s="17" t="inlineStr">
        <is>
          <t>New in v0.4.0, approved by the Principal 2026-10-16 in the returned action register (D-32 (a))</t>
        </is>
      </c>
    </row>
  </sheetData>
  <autoFilter ref="A4:E34"/>
  <conditionalFormatting sqref="D5:D34">
    <cfRule type="cellIs" priority="1" operator="equal" dxfId="0">
      <formula>"Accept"</formula>
    </cfRule>
    <cfRule type="cellIs" priority="2" operator="equal" dxfId="1">
      <formula>"Disagree - return to decisions"</formula>
    </cfRule>
  </conditionalFormatting>
  <dataValidations count="1">
    <dataValidation sqref="D5:D34"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the BIOS setting confirmed made on 2026-10-13). R26 to R28 (v0.3.5, S53, 2026-10-12: the ledger's 30-day purge not yet wired into the sweep, Chroma 1.5.9's soft deletes, and the once-silent failed sweep, now pushed to the phone) acknowledged by the Principal on 2026-10-13. R29 to R33 (v0.4.0, S-47: the re-pin, GLM-5.3-Flash's lossy rung, swap and re-prefill latency, the companions' share of the engine budget, the phased DeepSeek V4.1 trial engine) and R4, R17, R19 and R20 as restated in v0.4.0 acknowledged by the Principal on 2026-10-17 (S55).</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 *Restated in v0.4.0 (S-48):* GLM-5.3-Flash and DeepSeek-V4-Flash-0731 run an f16 cache (D-29 option (a)), so on Day 1 only gpt-oss-120b, the router and the CPU pair, and the unchanged abliterated entry (q4_0, as in v0.3.5), run a quantised one. GLM may need flash attention off on Vulkan (T-04), which would rule out a quantised V cache for it. Each architecture prints its own number of KV proof lines (two on GLM, its attention and indexer caches), and a phased engine's count is set at its pull. The restatement was acknowledged by the Principal on 2026-10-17.</t>
        </is>
      </c>
      <c r="C8" s="11" t="inlineStr">
        <is>
          <t>Medium</t>
        </is>
      </c>
      <c r="D8" s="11" t="inlineStr">
        <is>
          <t>High, unexpected OOM</t>
        </is>
      </c>
      <c r="E8" s="11" t="inlineStr">
        <is>
          <t>V4 per-model check, on every proof line an engine prints (kv_proof_lines)</t>
        </is>
      </c>
      <c r="F8" s="16" t="inlineStr">
        <is>
          <t>Yes</t>
        </is>
      </c>
      <c r="G8" s="17" t="inlineStr">
        <is>
          <t>Restated in v0.4.0 (S-48, 2026-10-16); acknowledged 2026-10-17</t>
        </is>
      </c>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 *Generalised in v0.4.0 (S-26, S-47):* every engine whose support is newer than the rest; on Day 1 the Apex, DeepSeek-V4-Flash-0731, and GLM-5.3-Flash (glm5-next, first in b11279); at its pull Qwen3.8-Flash-Next (qwen4exp). The restatement was acknowledged by the Principal on 2026-10-17.</t>
        </is>
      </c>
      <c r="C14" s="11" t="inlineStr">
        <is>
          <t>Medium</t>
        </is>
      </c>
      <c r="D14" s="11" t="inlineStr">
        <is>
          <t>Medium for the Apex; high for GLM-5.3-Flash, which carries seven seats, vision and long documents</t>
        </is>
      </c>
      <c r="E14" s="11" t="inlineStr">
        <is>
          <t>Its own V22 row in the Phase 3 gate; a failure defers the engine without blocking the phase or the other engines, and its seats move to their recorded fallbacks by the Principal's decision (6.2, D-40)</t>
        </is>
      </c>
      <c r="F14" s="16" t="inlineStr">
        <is>
          <t>Yes</t>
        </is>
      </c>
      <c r="G14" s="17" t="inlineStr">
        <is>
          <t>Restated in v0.4.0 (S-26, S-47, 2026-10-16); acknowledged 2026-10-17</t>
        </is>
      </c>
    </row>
    <row r="15">
      <c r="A15" s="12" t="inlineStr">
        <is>
          <t>R20</t>
        </is>
      </c>
      <c r="B15" s="11" t="inlineStr">
        <is>
          <t>Wi-Fi throughput and stability over a ~690 GB download. *Restated in v0.4.0 (S-34):* about 448 GB in Phase 3 (D-42 option (b)), about 842 GB of phased engines in a later pull, about 1.9 TB in all (D-41 option (a)). The restatement was acknowledged by the Principal on 2026-10-17.</t>
        </is>
      </c>
      <c r="C15" s="11" t="inlineStr">
        <is>
          <t>Medium</t>
        </is>
      </c>
      <c r="D15" s="11" t="inlineStr">
        <is>
          <t>Low, time only</t>
        </is>
      </c>
      <c r="E15" s="11" t="inlineStr">
        <is>
          <t>Phases 3 and 4 detached and resumable; retries are free; only the core seats are pulled before Day 1's tests</t>
        </is>
      </c>
      <c r="F15" s="16" t="inlineStr">
        <is>
          <t>Yes</t>
        </is>
      </c>
      <c r="G15" s="17" t="inlineStr">
        <is>
          <t>Restated in v0.4.0 (S-34, 2026-10-16); acknowledged 2026-10-17</t>
        </is>
      </c>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the Principal confirmed the BIOS setting made on 2026-10-13 (workbook sheet 5), so the risk is mitigated subject to pre-flight's own check on Day 1: were it found off, pre-flight warns, V2 notes it and the to-do secure-boot stays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inlineStr">
        <is>
          <t>Yes</t>
        </is>
      </c>
      <c r="G21" s="17" t="inlineStr">
        <is>
          <t>Acknowledged 2026-10-13</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inlineStr">
        <is>
          <t>Yes</t>
        </is>
      </c>
      <c r="G22" s="17" t="inlineStr">
        <is>
          <t>Acknowledged 2026-10-13</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inlineStr">
        <is>
          <t>Yes</t>
        </is>
      </c>
      <c r="G23" s="17" t="inlineStr">
        <is>
          <t>Acknowledged 2026-10-13</t>
        </is>
      </c>
    </row>
    <row r="24">
      <c r="A24" s="12" t="inlineStr">
        <is>
          <t>R29</t>
        </is>
      </c>
      <c r="B24" s="11" t="inlineStr">
        <is>
          <t>The re-pin changes every engine's behaviour: b11474 is 510 commits after v0.4.1, and the Vulkan fixes between them include wrong KV rows without flash attention (llama.cpp #28956) and flash-attention fixes (#29591, #29988), so results can depend on the -fa setting (UNVERIFIED on this node). New in v0.4.0 (S-47); acknowledged by the Principal on 2026-10-17</t>
        </is>
      </c>
      <c r="C24" s="11" t="inlineStr">
        <is>
          <t>Medium</t>
        </is>
      </c>
      <c r="D24" s="11" t="inlineStr">
        <is>
          <t>High (every engine)</t>
        </is>
      </c>
      <c r="E24" s="11" t="inlineStr">
        <is>
          <t>V25, required at the Phase 3 gate: the old and new builds compared on gpt-oss-120b, DeepSeek-V4-Flash-0731 and the router, flash attention on for the verdict and off recorded (3.4). GLM-5.3-Flash cannot be compared, since the old pin cannot load it, so V4, V22, the coherence prompt, T-03 and T-04 carry its checks. The pin changes only by a deliberate edit</t>
        </is>
      </c>
      <c r="F24" s="16" t="inlineStr">
        <is>
          <t>Yes</t>
        </is>
      </c>
      <c r="G24" s="17" t="inlineStr">
        <is>
          <t>New in v0.4.0 (S-47, 2026-10-16); acknowledged 2026-10-17</t>
        </is>
      </c>
    </row>
    <row r="25">
      <c r="A25" s="12" t="inlineStr">
        <is>
          <t>R30</t>
        </is>
      </c>
      <c r="B25" s="11" t="inlineStr">
        <is>
          <t>GLM-5.3-Flash's only fitting rung is lossy (UD-IQ4_XS: published mean KLD 0.117, the same top token 88.2% of the time; UNVERIFIED on this node), and it carries seven seats, vision and long documents. New in v0.4.0 (S-47); acknowledged by the Principal on 2026-10-17</t>
        </is>
      </c>
      <c r="C25" s="11" t="inlineStr">
        <is>
          <t>Certain that the rung is lossy; Medium that it matters on the Principal's work</t>
        </is>
      </c>
      <c r="D25" s="11" t="inlineStr">
        <is>
          <t>Medium to high: hard reasoning magnifies quantisation loss (INFERRED from the 2026 review)</t>
        </is>
      </c>
      <c r="E25" s="11" t="inlineStr">
        <is>
          <t>Provisional on every seat until the KLD run (D-02 option (c), T-03); the Phase 3 quality record and the to-do kld-run; the reasoning and Apex seats on the bit-exact DeepSeek-V4-Flash-0731; strong cross-checks on the other family (9.2); the Principal's test sets (D-49)</t>
        </is>
      </c>
      <c r="F25" s="16" t="inlineStr">
        <is>
          <t>Yes</t>
        </is>
      </c>
      <c r="G25" s="17" t="inlineStr">
        <is>
          <t>New in v0.4.0 (S-47, 2026-10-16); acknowledged 2026-10-17</t>
        </is>
      </c>
    </row>
    <row r="26">
      <c r="A26" s="12" t="inlineStr">
        <is>
          <t>R31</t>
        </is>
      </c>
      <c r="B26" s="11" t="inlineStr">
        <is>
          <t>Swap and re-prefill latency: with one LLM seat resident, every change of seat is a swap of about 50 to 85 seconds through LUKS, plus re-prefill of the task's context (DeepSeek-V4-Flash-0731 about 1.5 to 4.5 minutes at 16k to 32k and up to 13 at 64k; INFERRED until T-14). New in v0.4.0 (S-47); acknowledged by the Principal on 2026-10-17</t>
        </is>
      </c>
      <c r="C26" s="11" t="inlineStr">
        <is>
          <t>Certain on every swap</t>
        </is>
      </c>
      <c r="D26" s="11" t="inlineStr">
        <is>
          <t>Medium (usability; nothing is lost)</t>
        </is>
      </c>
      <c r="E26" s="11" t="inlineStr">
        <is>
          <t>GLM-5.3-Flash carries most seats and stays resident (6.3); Deep Think phases are batched (9.1); on Day 1 each strong cross-check swaps on its own (9.2); deep runs are reserved for the Principal's acceptance (D-43, built, 9.1); Phase 3 records each swap; the phased swap batching and slot restore (4.4, 6.3; T-13, T-14)</t>
        </is>
      </c>
      <c r="F26" s="16" t="inlineStr">
        <is>
          <t>Yes</t>
        </is>
      </c>
      <c r="G26" s="17" t="inlineStr">
        <is>
          <t>New in v0.4.0 (S-47, 2026-10-16); acknowledged 2026-10-17</t>
        </is>
      </c>
    </row>
    <row r="27">
      <c r="A27" s="12" t="inlineStr">
        <is>
          <t>R32</t>
        </is>
      </c>
      <c r="B27" s="11" t="inlineStr">
        <is>
          <t>Companions shrink the engine budget: every resident GiB comes off every seat. GLM-5.3-Flash at 8 × 32k projects to 155.05 GiB against about 156 GiB expected and is refused below a MemTotal of about 186.1 GiB, and the CPU pair's host memory and the servers' host-RAM prompt caches sit at the edge of the Arbiter's budget or outside it (INFERRED). New in v0.4.0 (S-47); acknowledged by the Principal on 2026-10-17</t>
        </is>
      </c>
      <c r="C27" s="11" t="inlineStr">
        <is>
          <t>Medium</t>
        </is>
      </c>
      <c r="D27" s="11" t="inlineStr">
        <is>
          <t>High for the seat refused (never an out-of-memory crash: the Arbiter refuses first)</t>
        </is>
      </c>
      <c r="E27" s="11" t="inlineStr">
        <is>
          <t>The Qwen3 pair on the CPU, charged its weights in full plus its measured anonymous memory, never below its projection (D-14 option (e)); Phase 3's measured footprints replace the projections (to-do kv-estimates); the relief orders of 4.1; the to-do cache-ram; the prompt-cache caps and the other host-RAM bounds of S55 (4.1, 4.4); the OCR companion's test re-checks the budget before it is added (5.3)</t>
        </is>
      </c>
      <c r="F27" s="16" t="inlineStr">
        <is>
          <t>Yes</t>
        </is>
      </c>
      <c r="G27" s="17" t="inlineStr">
        <is>
          <t>New in v0.4.0 (S-47, 2026-10-16); acknowledged 2026-10-17</t>
        </is>
      </c>
    </row>
    <row r="28">
      <c r="A28" s="12" t="inlineStr">
        <is>
          <t>R33</t>
        </is>
      </c>
      <c r="B28" s="11" t="inlineStr">
        <is>
          <t>The phased DeepSeek V4.1 trial engine: ROCm on gfx1151 for an LLM (stability with the inbox driver only; llama.cpp #25992, ROCm #6186), a fast-moving source (1,984 commits in six months for the Lucebox engine), published speeds measured with greedy sampling only, and a router-bias switch that trades fidelity for speed. New in v0.4.0 (S-47); acknowledged by the Principal on 2026-10-17</t>
        </is>
      </c>
      <c r="C28" s="11" t="inlineStr">
        <is>
          <t>Medium, after Day 1 only</t>
        </is>
      </c>
      <c r="D28" s="11" t="inlineStr">
        <is>
          <t>Low (evaluation only, outside the routed roster)</t>
        </is>
      </c>
      <c r="E28" s="11" t="inlineStr">
        <is>
          <t>Phased (15.5); the inbox amdgpu driver only, no DKMS, locked memory for that container alone, the image digest, source commit and file hashes pinned and never refreshed by themselves (D-52, D-57, B-36, B-37); speeds measured greedy and at temperature 1.0 (D-47); approximate switches only in scored trials (16.1 rule 9); promotion only by a blind-scored win (T-30)</t>
        </is>
      </c>
      <c r="F28" s="16" t="inlineStr">
        <is>
          <t>Yes</t>
        </is>
      </c>
      <c r="G28" s="17" t="inlineStr">
        <is>
          <t>New in v0.4.0 (S-47, 2026-10-16); acknowledged 2026-10-17</t>
        </is>
      </c>
    </row>
    <row r="29">
      <c r="A29" s="12" t="inlineStr">
        <is>
          <t>R10</t>
        </is>
      </c>
      <c r="B29" s="11" t="inlineStr">
        <is>
          <t>Sustained thermal load in a small chassis</t>
        </is>
      </c>
      <c r="C29" s="11" t="inlineStr">
        <is>
          <t>Medium</t>
        </is>
      </c>
      <c r="D29" s="11" t="inlineStr">
        <is>
          <t>Low</t>
        </is>
      </c>
      <c r="E29" s="11" t="inlineStr">
        <is>
          <t>Monitor temperatures in Cockpit; the chip's configurable ceiling is 120 W and the Principal is adding external cooling</t>
        </is>
      </c>
      <c r="F29" s="16" t="inlineStr">
        <is>
          <t>Yes</t>
        </is>
      </c>
      <c r="G29" s="17" t="n"/>
    </row>
    <row r="30">
      <c r="A30" s="12" t="inlineStr">
        <is>
          <t>R11</t>
        </is>
      </c>
      <c r="B30" s="11" t="inlineStr">
        <is>
          <t>CGNAT prevents inbound WireGuard</t>
        </is>
      </c>
      <c r="C30" s="11" t="inlineStr">
        <is>
          <t>Low, port forward already succeeded</t>
        </is>
      </c>
      <c r="D30" s="11" t="inlineStr">
        <is>
          <t>High for remote access</t>
        </is>
      </c>
      <c r="E30" s="11" t="inlineStr">
        <is>
          <t>V5 from mobile data, static IP from the ISP if needed</t>
        </is>
      </c>
      <c r="F30" s="16" t="inlineStr">
        <is>
          <t>Yes</t>
        </is>
      </c>
      <c r="G30" s="17" t="n"/>
    </row>
    <row r="31">
      <c r="A31" s="12" t="inlineStr">
        <is>
          <t>R12</t>
        </is>
      </c>
      <c r="B31" s="11" t="inlineStr">
        <is>
          <t>Fictitious directors corresponding as humans, AI non-disclosure</t>
        </is>
      </c>
      <c r="C31" s="11" t="inlineStr">
        <is>
          <t>Medium</t>
        </is>
      </c>
      <c r="D31" s="11" t="inlineStr">
        <is>
          <t>Medium to high, legal</t>
        </is>
      </c>
      <c r="E31" s="11" t="inlineStr">
        <is>
          <t>Gideon's sensitive-tier check, approval gate, 16.5</t>
        </is>
      </c>
      <c r="F31" s="16" t="inlineStr">
        <is>
          <t>Yes</t>
        </is>
      </c>
      <c r="G31" s="17" t="n"/>
    </row>
    <row r="32">
      <c r="A32" s="12" t="inlineStr">
        <is>
          <t>R13</t>
        </is>
      </c>
      <c r="B32" s="11" t="inlineStr">
        <is>
          <t>Abliterated engine used for external output</t>
        </is>
      </c>
      <c r="C32" s="11" t="inlineStr">
        <is>
          <t>Medium</t>
        </is>
      </c>
      <c r="D32" s="11" t="inlineStr">
        <is>
          <t>Medium</t>
        </is>
      </c>
      <c r="E32" s="11" t="inlineStr">
        <is>
          <t>Abliterated output always passes the same gate, never routine tier</t>
        </is>
      </c>
      <c r="F32" s="16" t="inlineStr">
        <is>
          <t>Yes</t>
        </is>
      </c>
      <c r="G32" s="17" t="n"/>
    </row>
    <row r="33">
      <c r="A33" s="12" t="inlineStr">
        <is>
          <t>R14</t>
        </is>
      </c>
      <c r="B33" s="11" t="inlineStr">
        <is>
          <t>Chatterbox continuation quirk in production speech</t>
        </is>
      </c>
      <c r="C33" s="11" t="inlineStr">
        <is>
          <t>Medium</t>
        </is>
      </c>
      <c r="D33" s="11" t="inlineStr">
        <is>
          <t>Low</t>
        </is>
      </c>
      <c r="E33" s="11" t="inlineStr">
        <is>
          <t>V7 testing, Kokoro fallback per line</t>
        </is>
      </c>
      <c r="F33" s="16" t="inlineStr">
        <is>
          <t>Yes</t>
        </is>
      </c>
      <c r="G33" s="17" t="n"/>
    </row>
    <row r="34">
      <c r="A34" s="12" t="inlineStr">
        <is>
          <t>R15</t>
        </is>
      </c>
      <c r="B34" s="11" t="inlineStr">
        <is>
          <t>Prompt bloat from domain injection makes every dispatch slow</t>
        </is>
      </c>
      <c r="C34" s="11" t="inlineStr">
        <is>
          <t>High without limits</t>
        </is>
      </c>
      <c r="D34" s="11" t="inlineStr">
        <is>
          <t>High, usability</t>
        </is>
      </c>
      <c r="E34" s="11" t="inlineStr">
        <is>
          <t>Three-card limit, compact cards, stable-prefix ordering (8.4, 4.4)</t>
        </is>
      </c>
      <c r="F34" s="16" t="inlineStr">
        <is>
          <t>Yes</t>
        </is>
      </c>
      <c r="G34" s="17" t="n"/>
    </row>
    <row r="35">
      <c r="A35" s="12" t="inlineStr">
        <is>
          <t>R16</t>
        </is>
      </c>
      <c r="B35" s="11" t="inlineStr">
        <is>
          <t>Backup passphrase or LUKS key lost with the node</t>
        </is>
      </c>
      <c r="C35" s="11" t="inlineStr">
        <is>
          <t>Low</t>
        </is>
      </c>
      <c r="D35" s="11" t="inlineStr">
        <is>
          <t>Catastrophic</t>
        </is>
      </c>
      <c r="E3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5" s="16" t="inlineStr">
        <is>
          <t>Yes</t>
        </is>
      </c>
      <c r="G35" s="17" t="n"/>
    </row>
    <row r="36">
      <c r="A36" s="12" t="inlineStr">
        <is>
          <t>R17</t>
        </is>
      </c>
      <c r="B36" s="11" t="inlineStr">
        <is>
          <t>PyAnnote gated model not accepted, diarisation silently absent. *Restated in v0.4.0 (S-48, C-06):* the gated pipeline is now speaker-diarization-community-1 (CC-BY-4.0, an automatically approved form). Once the phased Nemotron 3 Diarization (OpenMDW-1.1, not gated) is primary, community-1 is only its fallback for recordings with more than eight speakers, and the risk narrows to that case. The restatement was acknowledged by the Principal on 2026-10-17.</t>
        </is>
      </c>
      <c r="C36" s="11" t="inlineStr">
        <is>
          <t>Medium</t>
        </is>
      </c>
      <c r="D36" s="11" t="inlineStr">
        <is>
          <t>Low</t>
        </is>
      </c>
      <c r="E36" s="11" t="inlineStr">
        <is>
          <t>V6, recorded deferred with the to-do input-hf-token while the token or the licence is missing</t>
        </is>
      </c>
      <c r="F36" s="16" t="inlineStr">
        <is>
          <t>Yes</t>
        </is>
      </c>
      <c r="G36" s="17" t="inlineStr">
        <is>
          <t>Restated in v0.4.0 (S-48, C-06, 2026-10-16); acknowledged 2026-10-17</t>
        </is>
      </c>
    </row>
    <row r="37">
      <c r="A37" s="12" t="inlineStr">
        <is>
          <t>R18</t>
        </is>
      </c>
      <c r="B37" s="11" t="inlineStr">
        <is>
          <t>Continuous vision enabled by drift rather than decision</t>
        </is>
      </c>
      <c r="C37" s="11" t="inlineStr">
        <is>
          <t>Low</t>
        </is>
      </c>
      <c r="D37" s="11" t="inlineStr">
        <is>
          <t>High, privacy</t>
        </is>
      </c>
      <c r="E37" s="11" t="inlineStr">
        <is>
          <t>Separate capability flag under Alaric, logged, D8 item 7</t>
        </is>
      </c>
      <c r="F37" s="16" t="inlineStr">
        <is>
          <t>Yes</t>
        </is>
      </c>
      <c r="G37" s="17" t="n"/>
    </row>
  </sheetData>
  <autoFilter ref="A4:G37"/>
  <conditionalFormatting sqref="F5:F37">
    <cfRule type="cellIs" priority="1" operator="equal" dxfId="0">
      <formula>"Yes"</formula>
    </cfRule>
    <cfRule type="cellIs" priority="2" operator="equal" dxfId="1">
      <formula>"Discuss"</formula>
    </cfRule>
  </conditionalFormatting>
  <dataValidations count="1">
    <dataValidation sqref="F5:F3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(V1 to V25; V25, the output parity of the llama.cpp re-pin, is new in v0.4.0, its pass marks confirmed by the Principal on 2026-10-17, and V21 now proves single residency).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the larger of 160000 MiB (156.25 GiB) and the largest Day 1 seat with its context memory as the Arbiter projects it (v0.4.0, D-36 option (c), S-28: 155.05 GiB for GLM-5.3-Flash on Day 1, so 160000 MiB stands; the weights alone before the venv exists) of Vulkan device memory, and records the figure, which is not the engine budget (Phase 2); the measured heap decides every rung above about 149 GiB (T-01).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 (v0.4.0, S-48: the requested type, f16 included, on every proof line an engine prints; kv_proof_lines is four on DeepSeek-V4-Flash-0731 and two on GLM-5.3-Flash and gpt-oss-120b)</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The pyannote gated pipeline accepted and loading: speaker-diarization-community-1 since v0.4.0 (C-06; it was 3.1, which V6 now probes only as a diagnostic when community-1 is refused)</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Every Day 1 LLM seat (gpt-oss-120b, its abliterated twin, GLM-5.3-Flash and DeepSeek-V4-Flash-0731) loads, generates, swaps and releases memory at its fixed quantisation. *v0.4.0 (S-24, S-25; D-33 option (c)):* decode is recorded beside each seat's projection and fails only below a per-seat floor the Principal sets; none is set, so Phase 3 records only and raises the to-do decode-floors (D-47); the abliterated entry keeps its v0.3.5 band and rule; the GLM and Apex lines point to their V22 rows. Eleanor's resident 4B router model is verified separately at the Phase 2 gate (V10a),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 *v0.4.0 (S-24):* the Phase 3 half runs with nothing resident, against the Day 1 engines and the tier lists of 4.2 rule 8 (deep: GLM-5.3-Flash, DeepSeek-V4-Flash-0731 and gpt-oss-120b), with GLM-5.3-Flash as the probe</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Single residency (v0.4.0, S-24; D-32 option (a); replacing v0.3.5's two engines resident together at ~142 GB): with gpt-oss-120b resident, a load of GLM-5.3-Flash makes the Arbiter evict it (the Arbiter at the D-32 limit of 1, its grant naming gpt-oss-120b as evicted, its unit stopped, the ledger holding GLM alone, the GTT delta GLM's alone, capped at the live budget), and a second generation request through the orchestrator queues until the first finishes. No Day 1 pair of non-abliterated seats fits the budget together, so the budget alone would force this eviction; the seat limit itself is proven by V14a's unit test. Slot restore across the swap is phased and recorded as not tested (T-13)</t>
        </is>
      </c>
      <c r="C25" s="11" t="inlineStr">
        <is>
          <t>Phase 3 step 3</t>
        </is>
      </c>
      <c r="D25" s="16" t="inlineStr">
        <is>
          <t>Not yet run</t>
        </is>
      </c>
      <c r="E25" s="17" t="n"/>
    </row>
    <row r="26">
      <c r="A26" s="12" t="inlineStr">
        <is>
          <t>V22</t>
        </is>
      </c>
      <c r="B26" s="11" t="inlineStr">
        <is>
          <t>The engines newer than the rest load and generate (v0.4.0, S-26; R19 generalised): DeepSeek-V4-Flash-0731 at UD-Q8_K_XL (its f16 rung, or q8_0 if f16 fails) and every engine whose first-support llama.cpp build is after v0.4.1's b10964, on Day 1 GLM-5.3-Flash (glm5-next, b11279), each on its own row with a summary; a failure is deferred without blocking the phase, and its V10 line points here</t>
        </is>
      </c>
      <c r="C26" s="11" t="inlineStr">
        <is>
          <t>Phase 3 gate (recorded, not blocking)</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row r="29">
      <c r="A29" s="12" t="inlineStr">
        <is>
          <t>V25</t>
        </is>
      </c>
      <c r="B29" s="11" t="inlineStr">
        <is>
          <t>Output parity between the pin b11474 and the old pin v0.4.1 (new in v0.4.0, S-02; the condition D-01 set on the pin): on the chat engines both builds load (gpt-oss-120b, DeepSeek-V4-Flash-0731, the router), base logits for 16 × 512 tokens of the domain profiles written by the old build and scored by the new with --kl-divergence, and a 24-task deterministic set run on both. The verdict is taken with flash attention on (off is recorded): a mean KLD of at most 0.01, the same top token at least 98% of the time and no fewer tasks correct (thresholds confirmed by the Principal on 2026-10-17, S55). A file the old build cannot load records deferred; GLM-5.3-Flash and the embedder and reranker are listed as not covered</t>
        </is>
      </c>
      <c r="C29" s="11" t="inlineStr">
        <is>
          <t>Phase 3 step 2b; Phase 3 gate (required)</t>
        </is>
      </c>
      <c r="D29" s="16" t="inlineStr">
        <is>
          <t>Not yet run</t>
        </is>
      </c>
      <c r="E29" s="17" t="n"/>
    </row>
  </sheetData>
  <autoFilter ref="A4:E29"/>
  <conditionalFormatting sqref="D5:D29">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9"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added or reopened since were closed as each records: D15 decided and the Windows share deferred on 2026-10-05, C27 decided and R22 to R25 acknowledged by the Principal on 2026-10-08, the Secure Boot BIOS setting, the USB recovery drive and R26 to R28 ticked in the workbook returned 2026-10-13, and the action register, its licences, C28 to C30 and D16 to D27 ticked on 2026-10-16 (v0.4.0), and R29 to R33 with the restated R4, R17, R19 and R20 acknowledged on 2026-10-17. Blank rows: the optional items the scripts ask for at a prompt (Yes when provided, N/A to leave them for the live ATLAS to-do list); and the inputs the v0.4.0 approvals leave to the Principal, each already built with its stated default and kept as a to-do, two of them after Day 1. Nothing required before Phase 1 is open: the Secure Boot row and the install rows are ticked. One request still stands on row 24, to confirm that the installer's encryption option (Encrypt the LVM group with LUKS) was taken; pre-flight checks the OS volume on Day 1, and an unencrypted one is a warning and the to-do os-volume-encryption, never a stop.</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New in v0.4.0: return the action register (64 decisions D-01 to D-64, 12 named models, 18 persona rows, 12 companions, 60 structure rows, 80 baseline items and 33 tests). Returned by the Principal on 2026-10-16, every row approved, P-10 and P-17 marked "Approve with changes" (P-10 with a change and a question, answered in 5.3; P-17 is among the uncensored-seat items, unchanged by this revision; N-01 and N-03 with a question, answered in 4.1 and 4.2); recorded as D16 to D27 (Section 19).</t>
        </is>
      </c>
      <c r="D6" s="16" t="inlineStr">
        <is>
          <t>Yes</t>
        </is>
      </c>
      <c r="E6" s="17" t="n"/>
    </row>
    <row r="7">
      <c r="A7" s="12" t="n">
        <v>3</v>
      </c>
      <c r="B7" s="11" t="inlineStr">
        <is>
          <t>Principal's actions — what is genuinely left</t>
        </is>
      </c>
      <c r="C7" s="11" t="inlineStr">
        <is>
          <t>New in v0.4.0: accept the Qwen Community License 1.0 for Qwen3.8-Flash-Next (D-03), the NVIDIA Nemotron Open Model License for Nemotron 3 Super (D-04) and OpenMDW-1.1 for Nemotron 3 Diarization (D-05). Accepted by the Principal on 2026-10-16 in the returned action register; each applies when its phased engine is pulled.</t>
        </is>
      </c>
      <c r="D7" s="16" t="inlineStr">
        <is>
          <t>Yes</t>
        </is>
      </c>
      <c r="E7" s="17" t="n"/>
    </row>
    <row r="8">
      <c r="A8" s="12" t="n">
        <v>4</v>
      </c>
      <c r="B8" s="11" t="inlineStr">
        <is>
          <t>Principal's actions — what is genuinely left</t>
        </is>
      </c>
      <c r="C8" s="11" t="inlineStr">
        <is>
          <t>New in v0.4.0: accept the remaining licences with each engine as it is approved (D-34 option (b), D-35 option (a)): MIT for GLM-5.3-Flash, DeepSeek-V4-Flash-0731 and Ling-3.0-flash-Fin; Apache 2.0 for the Qwen3 embedder and reranker, Intern-S1, Baichuan-M3, Qwen3-Coder-Next and, if kept, EmbeddingGemma 2; CC-BY-4.0 for pyannote community-1; and, with their phased companions, the OCR, speech, voice and image licences D-35 names. Accepted by the Principal on 2026-10-16 in the returned action register. The Hugging Face click-through for community-1 is part of the token box below.</t>
        </is>
      </c>
      <c r="D8" s="16" t="inlineStr">
        <is>
          <t>Yes</t>
        </is>
      </c>
      <c r="E8" s="17" t="n"/>
    </row>
    <row r="9">
      <c r="A9" s="12" t="n">
        <v>5</v>
      </c>
      <c r="B9" s="11" t="inlineStr">
        <is>
          <t>Principal's actions — what is genuinely left</t>
        </is>
      </c>
      <c r="C9" s="11" t="inlineStr">
        <is>
          <t>Decide where the LUKS recovery key and restic passphrase live (D3). Done: node plus external USB.</t>
        </is>
      </c>
      <c r="D9" s="16" t="inlineStr">
        <is>
          <t>Yes</t>
        </is>
      </c>
      <c r="E9" s="17" t="n"/>
    </row>
    <row r="10">
      <c r="A10" s="12" t="n">
        <v>6</v>
      </c>
      <c r="B10" s="11" t="inlineStr">
        <is>
          <t>Principal's actions — what is genuinely left</t>
        </is>
      </c>
      <c r="C10" s="11" t="inlineStr">
        <is>
          <t>Confirm the Sentinel feed list (D6), the director alias pattern (D14), and the Apple build path (D11, removed).</t>
        </is>
      </c>
      <c r="D10" s="16" t="inlineStr">
        <is>
          <t>Yes</t>
        </is>
      </c>
      <c r="E10" s="17" t="n"/>
    </row>
    <row r="11">
      <c r="A11" s="12" t="n">
        <v>7</v>
      </c>
      <c r="B11" s="11" t="inlineStr">
        <is>
          <t>Principal's actions — what is genuinely left</t>
        </is>
      </c>
      <c r="C11"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Drive in hand, confirmed by the Principal on 2026-10-13; the writing itself stays a Day 1 close-out step. *Reworded in v0.3.2: the material does not exist before Day 1, so the drive cannot be "stored" yet.*</t>
        </is>
      </c>
      <c r="D11" s="16" t="inlineStr">
        <is>
          <t>Yes</t>
        </is>
      </c>
      <c r="E11" s="17" t="n"/>
    </row>
    <row r="12">
      <c r="A12" s="12" t="n">
        <v>8</v>
      </c>
      <c r="B12" s="11" t="inlineStr">
        <is>
          <t>Principal's actions — what is genuinely left</t>
        </is>
      </c>
      <c r="C12" s="11" t="inlineStr">
        <is>
          <t>New in v0.4.0 (B-25, approved by the Principal on 2026-10-16): initialise the real gocryptfs vault before Day 1 and choose its passphrase: from a console, run sudo env ATLAS_VAULT_INIT=1 ./atlas-day1.sh phase2 --force 09b, then write the passphrase and the master key (shown once) with the other secrets for the USB drive (above). A plain phase2 proves the mechanics on a throw-away vault and records V18 deferred (Section 11, 17).</t>
        </is>
      </c>
      <c r="D12" s="16" t="inlineStr">
        <is>
          <t>Yes</t>
        </is>
      </c>
      <c r="E12" s="17" t="n"/>
    </row>
    <row r="13">
      <c r="A13" s="12" t="n">
        <v>9</v>
      </c>
      <c r="B13" s="11" t="inlineStr">
        <is>
          <t>Principal's actions — what is genuinely left</t>
        </is>
      </c>
      <c r="C13" s="11" t="inlineStr">
        <is>
          <t>New in v0.3.3: enable Secure Boot in the BIOS before Phase 1 (D15, option (a)). The one BIOS change since the workbook; without it pre-flight warns and the to-do secure-boot stays open, nothing stops. Done, confirmed by the Principal on 2026-10-13; pre-flight verifies it on Day 1.</t>
        </is>
      </c>
      <c r="D13" s="16" t="inlineStr">
        <is>
          <t>Yes</t>
        </is>
      </c>
      <c r="E13" s="17" t="n"/>
    </row>
    <row r="14">
      <c r="A14" s="12" t="n">
        <v>10</v>
      </c>
      <c r="B14" s="11" t="inlineStr">
        <is>
          <t>Principal's actions — what is genuinely left</t>
        </is>
      </c>
      <c r="C14" s="11" t="inlineStr">
        <is>
          <t>Optional, asked at the prompt (v0.3.3): your SSH public key, pasted when Phase 1 step 1 asks (the step prints the PowerShell command that shows it); skipped, password SSH stays on until the key is added (to-do ssh-key).</t>
        </is>
      </c>
      <c r="D14" s="16" t="n"/>
      <c r="E14" s="17" t="n"/>
    </row>
    <row r="15">
      <c r="A15" s="12" t="n">
        <v>11</v>
      </c>
      <c r="B15" s="11" t="inlineStr">
        <is>
          <t>Principal's actions — what is genuinely left</t>
        </is>
      </c>
      <c r="C15"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5" s="16" t="n"/>
      <c r="E15" s="17" t="n"/>
    </row>
    <row r="16">
      <c r="A16" s="12" t="n">
        <v>12</v>
      </c>
      <c r="B16" s="11" t="inlineStr">
        <is>
          <t>Principal's actions — what is genuinely left</t>
        </is>
      </c>
      <c r="C16" s="11" t="inlineStr">
        <is>
          <t>~~/etc/atlas/secrets/smb.cred for the Windows share account~~ Deferred to the live ATLAS (v0.3.3) with the share itself; Phase 2 step 9 is skipped. No action before Day 1.</t>
        </is>
      </c>
      <c r="D16" s="16" t="inlineStr">
        <is>
          <t>Yes</t>
        </is>
      </c>
      <c r="E16" s="17" t="n"/>
    </row>
    <row r="17">
      <c r="A17" s="12" t="n">
        <v>13</v>
      </c>
      <c r="B17" s="11" t="inlineStr">
        <is>
          <t>Principal's actions — what is genuinely left</t>
        </is>
      </c>
      <c r="C17" s="11" t="inlineStr">
        <is>
          <t>Decide D15 (Secure Boot and the TPM binding). Done 2026-10-05: option (a).</t>
        </is>
      </c>
      <c r="D17" s="16" t="inlineStr">
        <is>
          <t>Yes</t>
        </is>
      </c>
      <c r="E17" s="17" t="n"/>
    </row>
    <row r="18">
      <c r="A18" s="12" t="n">
        <v>14</v>
      </c>
      <c r="B18" s="11" t="inlineStr">
        <is>
          <t>Principal's actions — what is genuinely left</t>
        </is>
      </c>
      <c r="C18"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8" s="16" t="inlineStr">
        <is>
          <t>Yes</t>
        </is>
      </c>
      <c r="E18" s="17" t="n"/>
    </row>
    <row r="19">
      <c r="A19" s="12" t="n">
        <v>15</v>
      </c>
      <c r="B19" s="11" t="inlineStr">
        <is>
          <t>Principal's actions — what is genuinely left</t>
        </is>
      </c>
      <c r="C19" s="11" t="inlineStr">
        <is>
          <t>Optional, asked at the prompt (v0.3.1, relaxed in v0.3.3): create a Hugging Face access token (read scope) and, with the same account, accept the licences of the gated models on huggingface.co: pyannote/speaker-diarization-community-1 (V6; since v0.4.0, C-06, the one pyannote repository V6 needs, so pyannote/speaker-diarization-3.1 and pyannote/segmentation-3.0 are no longer required), black-forest-labs/FLUX.1-dev and stabilityai/stable-audio-open-1.0 (Phase 4). Phase 2 asks for the token once at its start (hidden input) and stores it under /etc/atlas/secrets/; skipped, V6 and the gated Phase 4 engines are deferred with the to-do input-hf-token. The four Phase 3 repositories are public, so Day 1 needs no further gated licence (v0.4.0).</t>
        </is>
      </c>
      <c r="D19" s="16" t="n"/>
      <c r="E19" s="17" t="n"/>
    </row>
    <row r="20">
      <c r="A20" s="12" t="n">
        <v>16</v>
      </c>
      <c r="B20" s="11" t="inlineStr">
        <is>
          <t>Principal's actions — what is genuinely left</t>
        </is>
      </c>
      <c r="C20" s="11" t="inlineStr">
        <is>
          <t>Open, not needed for Day 1 (v0.4.0): the inputs the approved rows leave to the Principal, each built with its stated default and kept as a to-do: the per-seat decode floors and the deep-tier floor (D-33, D-47; default none, to-do decode-floors); the context targets of Baichuan-M3 and Intern-S1 (D-16; default Q5_K_S at about 23K tokens, needed before their pull; to-do context-targets); the DeepSeek-V4-Flash-0731 context target (default 131,072 tokens, 4.3), GLM-5.3-Flash's cache type and slot profile (T-04, D-48; default f16 at 8 × 32k without --kv-unified, 4.3) and the long-document trigger (D-38, S-30; default 24,000 tokens, 7.1) (to-do seat-profiles); each seat's fixed reasoning setting (D-30 (b); the provisional settings of 5.1, in the to-do kld-run); whether a dedicated coder seat is wanted (D-19; default GLM-5.3-Flash); keeping or dropping EmbeddingGemma 2 (D-60); whether MedGemma 1.5 4B joins Rad-DINO (C-12; default Rad-DINO alone); the measured Internet bandwidth (B-27; default 100 Mbps).</t>
        </is>
      </c>
      <c r="D20" s="16" t="n"/>
      <c r="E20" s="17" t="n"/>
    </row>
    <row r="21">
      <c r="A21" s="12" t="n">
        <v>17</v>
      </c>
      <c r="B21" s="11" t="inlineStr">
        <is>
          <t>Principal's actions — what is genuinely left</t>
        </is>
      </c>
      <c r="C21" s="11" t="inlineStr">
        <is>
          <t>Open, after Day 1 (v0.4.0): supply test sets for Australian law, HR, aviation, logistics, AEC, SCADA, game design, growth marketing, customer success and physical security / OSINT (D-49 option (a), T-27; to-do seat-test-sets). Until they exist, GLM-5.3-Flash carries those seats unproven (6.2).</t>
        </is>
      </c>
      <c r="D21" s="16" t="n"/>
      <c r="E21" s="17" t="n"/>
    </row>
    <row r="22">
      <c r="A22" s="12" t="n">
        <v>18</v>
      </c>
      <c r="B22" s="11" t="inlineStr">
        <is>
          <t>Principal's actions — what is genuinely left</t>
        </is>
      </c>
      <c r="C22" s="11" t="inlineStr">
        <is>
          <t>Open, after Day 1 (v0.4.0): supply 30 to 50 private Deep Think and TF_OMEGA-style tasks for the V4.1 trial, scored blind by the Principal or a director (D-46 option (b), T-30; to-do trial-task-set).</t>
        </is>
      </c>
      <c r="D22" s="16" t="n"/>
      <c r="E22" s="17" t="n"/>
    </row>
    <row r="23">
      <c r="A23" s="12" t="n">
        <v>19</v>
      </c>
      <c r="B23" s="11" t="inlineStr">
        <is>
          <t>Principal's actions — what is genuinely left</t>
        </is>
      </c>
      <c r="C23"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23" s="16" t="n"/>
      <c r="E23" s="17" t="n"/>
    </row>
    <row r="24">
      <c r="A24" s="12" t="n">
        <v>20</v>
      </c>
      <c r="B24" s="11" t="inlineStr">
        <is>
          <t>Principal's actions — what is genuinely left</t>
        </is>
      </c>
      <c r="C24"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24" s="16" t="inlineStr">
        <is>
          <t>Yes</t>
        </is>
      </c>
      <c r="E24" s="17" t="n"/>
    </row>
    <row r="25">
      <c r="A25" s="12" t="n">
        <v>21</v>
      </c>
      <c r="B25" s="11" t="inlineStr">
        <is>
          <t>Principal's actions — what is genuinely left</t>
        </is>
      </c>
      <c r="C25" s="11" t="inlineStr">
        <is>
          <t>Have a monitor and keyboard available for Phase 1 only, in case first boot needs a hand. Done.</t>
        </is>
      </c>
      <c r="D25" s="16" t="inlineStr">
        <is>
          <t>Yes</t>
        </is>
      </c>
      <c r="E25" s="17" t="n"/>
    </row>
    <row r="26">
      <c r="A26" s="12" t="n">
        <v>22</v>
      </c>
      <c r="B26" s="11" t="inlineStr">
        <is>
          <t>Automated on the Principal's instruction, no action needed</t>
        </is>
      </c>
      <c r="C26" s="11" t="inlineStr">
        <is>
          <t>Cloudflare token relocation and deletion of CLOUDFLARE.txt: Phase 2 step 6b (V23).</t>
        </is>
      </c>
      <c r="D26" s="16" t="inlineStr">
        <is>
          <t>Yes</t>
        </is>
      </c>
      <c r="E26" s="17" t="n"/>
    </row>
    <row r="27">
      <c r="A27" s="12" t="n">
        <v>23</v>
      </c>
      <c r="B27" s="11" t="inlineStr">
        <is>
          <t>Automated on the Principal's instruction, no action needed</t>
        </is>
      </c>
      <c r="C27" s="11" t="inlineStr">
        <is>
          <t>Director aliases generated from names rather than confirmed one by one (D14).</t>
        </is>
      </c>
      <c r="D27" s="16" t="inlineStr">
        <is>
          <t>Yes</t>
        </is>
      </c>
      <c r="E27" s="17" t="n"/>
    </row>
    <row r="28">
      <c r="A28" s="12" t="n">
        <v>24</v>
      </c>
      <c r="B28" s="11" t="inlineStr">
        <is>
          <t>Build-side preconditions</t>
        </is>
      </c>
      <c r="C28"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8" s="16" t="inlineStr">
        <is>
          <t>Yes</t>
        </is>
      </c>
      <c r="E28" s="17" t="n"/>
    </row>
    <row r="29">
      <c r="A29" s="12" t="n">
        <v>25</v>
      </c>
      <c r="B29" s="11" t="inlineStr">
        <is>
          <t>Build-side preconditions</t>
        </is>
      </c>
      <c r="C29" s="11" t="inlineStr">
        <is>
          <t>BIOS: UMA minimum, IOMMU on, fTPM on. Done. Secure Boot: enabled (D15, v0.3.3; see the Principal's actions above).</t>
        </is>
      </c>
      <c r="D29" s="16" t="inlineStr">
        <is>
          <t>Yes</t>
        </is>
      </c>
      <c r="E29" s="17" t="n"/>
    </row>
    <row r="30">
      <c r="A30" s="12" t="n">
        <v>26</v>
      </c>
      <c r="B30" s="11" t="inlineStr">
        <is>
          <t>Build-side preconditions</t>
        </is>
      </c>
      <c r="C30"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30" s="16" t="inlineStr">
        <is>
          <t>Yes</t>
        </is>
      </c>
      <c r="E30" s="17" t="n"/>
    </row>
    <row r="31">
      <c r="A31" s="12" t="n">
        <v>27</v>
      </c>
      <c r="B31" s="11" t="inlineStr">
        <is>
          <t>Build-side preconditions</t>
        </is>
      </c>
      <c r="C31" s="11" t="inlineStr">
        <is>
          <t>Internet bandwidth known, so the Phase 3 download can be planned (v0.4.0: about 448 GB in Phase 3, about 10 hours at 100 Mbps, D-42 option (b); about 842 GB of phased engines later; about 1.9 TB in all, D-41 option (a); v0.3.5 planned ~690 GB). Done; the figure was not recorded in the workbook, so the 100 Mbps planning assumption in 15.4 stands until stated (B-27, open above).</t>
        </is>
      </c>
      <c r="D31" s="16" t="inlineStr">
        <is>
          <t>Yes</t>
        </is>
      </c>
      <c r="E31" s="17" t="n"/>
    </row>
    <row r="32">
      <c r="A32" s="12" t="n">
        <v>28</v>
      </c>
      <c r="B32" s="11" t="inlineStr">
        <is>
          <t>Accepted resolutions</t>
        </is>
      </c>
      <c r="C32" s="11" t="inlineStr">
        <is>
          <t>C1 through C20 accepted in the returned workbook. C19 was reopened and re-decided in the Principal's favour.</t>
        </is>
      </c>
      <c r="D32" s="16" t="inlineStr">
        <is>
          <t>Yes</t>
        </is>
      </c>
      <c r="E32" s="17" t="n"/>
    </row>
    <row r="33">
      <c r="A33" s="12" t="n">
        <v>29</v>
      </c>
      <c r="B33" s="11" t="inlineStr">
        <is>
          <t>Accepted resolutions</t>
        </is>
      </c>
      <c r="C33" s="11" t="inlineStr">
        <is>
          <t>C21 through C26, new in v0.2, accepted in the returned workbook: the Ubuntu and amd64v3 rejections, the quantisation rise, the closed reserve list, the vision consolidation, and the residency-versus-generation reading.</t>
        </is>
      </c>
      <c r="D33" s="16" t="inlineStr">
        <is>
          <t>Yes</t>
        </is>
      </c>
      <c r="E33" s="17" t="n"/>
    </row>
    <row r="34">
      <c r="A34" s="12" t="n">
        <v>30</v>
      </c>
      <c r="B34" s="11" t="inlineStr">
        <is>
          <t>Accepted resolutions</t>
        </is>
      </c>
      <c r="C34" s="11" t="inlineStr">
        <is>
          <t>R9, R16, R19, R20 and R21 acknowledged in the returned workbook: two changed wording in v0.2, three were new.</t>
        </is>
      </c>
      <c r="D34" s="16" t="inlineStr">
        <is>
          <t>Yes</t>
        </is>
      </c>
      <c r="E34" s="17" t="n"/>
    </row>
    <row r="35">
      <c r="A35" s="12" t="n">
        <v>31</v>
      </c>
      <c r="B35" s="11" t="inlineStr">
        <is>
          <t>Accepted resolutions</t>
        </is>
      </c>
      <c r="C35" s="11" t="inlineStr">
        <is>
          <t>C27, new in v0.3.4: Ubuntu Server 26.04.1 kept over Fedora 44 KDE Plasma. Decided by the Principal on 2026-10-08.</t>
        </is>
      </c>
      <c r="D35" s="16" t="inlineStr">
        <is>
          <t>Yes</t>
        </is>
      </c>
      <c r="E35" s="17" t="n"/>
    </row>
    <row r="36">
      <c r="A36" s="12" t="n">
        <v>32</v>
      </c>
      <c r="B36" s="11" t="inlineStr">
        <is>
          <t>Accepted resolutions</t>
        </is>
      </c>
      <c r="C36" s="11" t="inlineStr">
        <is>
          <t>R22 to R25 acknowledged by the Principal on 2026-10-08 (R22 and R23 new in v0.3.2, R24 and R25 new in v0.3.4).</t>
        </is>
      </c>
      <c r="D36" s="16" t="inlineStr">
        <is>
          <t>Yes</t>
        </is>
      </c>
      <c r="E36" s="17" t="n"/>
    </row>
    <row r="37">
      <c r="A37" s="12" t="n">
        <v>33</v>
      </c>
      <c r="B37" s="11" t="inlineStr">
        <is>
          <t>Accepted resolutions</t>
        </is>
      </c>
      <c r="C37" s="11" t="inlineStr">
        <is>
          <t>R26 to R28 acknowledged by the Principal on 2026-10-13 (all three new in v0.3.5, S53, 2026-10-12; sheet 3).</t>
        </is>
      </c>
      <c r="D37" s="16" t="inlineStr">
        <is>
          <t>Yes</t>
        </is>
      </c>
      <c r="E37" s="17" t="n"/>
    </row>
    <row r="38">
      <c r="A38" s="12" t="n">
        <v>34</v>
      </c>
      <c r="B38" s="11" t="inlineStr">
        <is>
          <t>Accepted resolutions</t>
        </is>
      </c>
      <c r="C38" s="11" t="inlineStr">
        <is>
          <t>C28 to C30, new in v0.4.0 (superseding C23, C25 and C26), and D16 to D27 (reopening D4, D10 and D12): approved by the Principal on 2026-10-16 in the returned action register (D-25 option (a)).</t>
        </is>
      </c>
      <c r="D38" s="16" t="inlineStr">
        <is>
          <t>Yes</t>
        </is>
      </c>
      <c r="E38" s="17" t="n"/>
    </row>
    <row r="39">
      <c r="A39" s="12" t="n">
        <v>35</v>
      </c>
      <c r="B39" s="11" t="inlineStr">
        <is>
          <t>Accepted resolutions</t>
        </is>
      </c>
      <c r="C39" s="11" t="inlineStr">
        <is>
          <t>R29 to R33 and the restated R4, R17, R19 and R20 acknowledged by the Principal on 2026-10-17 (R29 to R33 new in v0.4.0, S-47, 2026-10-16; the four restated in S-47 and S-48; S55; sheet 3).</t>
        </is>
      </c>
      <c r="D39" s="16" t="inlineStr">
        <is>
          <t>Yes</t>
        </is>
      </c>
      <c r="E39" s="17" t="n"/>
    </row>
  </sheetData>
  <autoFilter ref="A4:E39"/>
  <conditionalFormatting sqref="D5:D3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3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5.3, 6.1 and 6.2 (v0.4.0). The Day 1 engines and their quantisations, the engines phased after Day 1, the resident small models, the two hemispheres, and the final persona-to-engine map with each seat's Day 1 fallback.</t>
        </is>
      </c>
    </row>
    <row r="4">
      <c r="A4" s="3" t="inlineStr">
        <is>
          <t>The Day 1 LLM engines (one LLM seat resident at a time;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GLM-5.3-Flash (glm-5.3-flash, MIT)</t>
        </is>
      </c>
      <c r="B6" s="11" t="inlineStr">
        <is>
          <t>320B MoE, 18B active (glm5-next, first in llama.cpp b11279, hence the re-pin, 3.4); natively multimodal through its glm5v projector</t>
        </is>
      </c>
      <c r="C6" s="11" t="inlineStr">
        <is>
          <t>UD-IQ4_XS, the one lossy rung of the set (published mean KLD 0.117 and 88.2% same top token, UNVERIFIED on this node); provisional on every seat until the Phase 3 KLD run (T-03, D-02)</t>
        </is>
      </c>
      <c r="D6" s="11" t="inlineStr">
        <is>
          <t>157.95 GB: 156.82 GB in five shards plus the 1.13 GB mmproj-F16.gguf at the repository root (147.10 GiB)</t>
        </is>
      </c>
      <c r="E6" s="11" t="inlineStr">
        <is>
          <t>12–14 tok/s projected (Section 2)</t>
        </is>
      </c>
      <c r="F6" s="11" t="inlineStr">
        <is>
          <t>The default resident seat (D-23). Ren, Gideon, Silas, Helena, Minerva, Victor, Alaric and Eleanor's persona work (P-10); the vision engine (D-20 (a)); the long-document route (D-38 (a)); the Deep Think generator (D-22)</t>
        </is>
      </c>
    </row>
    <row r="7">
      <c r="A7" s="11" t="inlineStr">
        <is>
          <t>DeepSeek-V4-Flash-0731 (deepseek-v4-flash, MIT)</t>
        </is>
      </c>
      <c r="B7" s="11" t="inlineStr">
        <is>
          <t>284B MoE, 13B active (deepseek4)</t>
        </is>
      </c>
      <c r="C7" s="11" t="inlineStr">
        <is>
          <t>UD-Q8_K_XL, raised from UD-Q4_K_XL: bit-exact to the released weights (D-11 (a), S-42)</t>
        </is>
      </c>
      <c r="D7" s="11" t="inlineStr">
        <is>
          <t>161.87 GB in five files (150.75 GiB)</t>
        </is>
      </c>
      <c r="E7" s="11" t="inlineStr">
        <is>
          <t>About 7 tok/s projected on mainline Vulkan, a floor (Section 2)</t>
        </is>
      </c>
      <c r="F7" s="11" t="inlineStr">
        <is>
          <t>The Apex engine and Arthur's default seat (P-02). TF_OMEGA, the Deep Think adversary and synthesis (D-22), strong cross-checks (D-39 (a)). Runs alone</t>
        </is>
      </c>
    </row>
    <row r="8">
      <c r="A8" s="11" t="inlineStr">
        <is>
          <t>gpt-oss-120b (gpt-oss-120b, Apache 2.0)</t>
        </is>
      </c>
      <c r="B8" s="11" t="inlineStr">
        <is>
          <t>117B MoE, 5.1B active (gpt-oss)</t>
        </is>
      </c>
      <c r="C8" s="11" t="inlineStr">
        <is>
          <t>F16 trunk, experts in native MXFP4 (D-59 (b))</t>
        </is>
      </c>
      <c r="D8" s="11" t="inlineStr">
        <is>
          <t>65.37 GB, one file (60.88 GiB)</t>
        </is>
      </c>
      <c r="E8" s="11" t="inlineStr">
        <is>
          <t>57–60 tok/s projected; 53.8–55.6 measured with the MXFP4 file on 128 GB Ryzen AI Max+ 395 machines</t>
        </is>
      </c>
      <c r="F8" s="11" t="inlineStr">
        <is>
          <t>The fast utility and the fallback floor (D-12 (a), D-40 (a)): drafting, Sentinel escalation (9.3), the Day 1 Deep Think third opinion (9.1) and the Day 1 fallback of every seat whose planned runner-up is phased (6.2). No longer the default resident engine</t>
        </is>
      </c>
    </row>
    <row r="9">
      <c r="A9" s="11" t="inlineStr">
        <is>
          <t>gpt-oss-120b abliterated (Huihui)</t>
        </is>
      </c>
      <c r="B9" s="11" t="inlineStr">
        <is>
          <t>Same weights, refusals removed</t>
        </is>
      </c>
      <c r="C9" s="11" t="inlineStr">
        <is>
          <t>MXFP4, re-quantised (Section 23: the abliteration is applied to the BF16 upcast; the MXFP4 GGUF is a requant, same size and speed, the "no accuracy cost" argument below does not transfer)</t>
        </is>
      </c>
      <c r="D9" s="11" t="inlineStr">
        <is>
          <t>63 GB</t>
        </is>
      </c>
      <c r="E9" s="11" t="inlineStr">
        <is>
          <t>Same</t>
        </is>
      </c>
      <c r="F9" s="11" t="inlineStr">
        <is>
          <t>Valerie default; Ren and Arthur on explicit override</t>
        </is>
      </c>
    </row>
    <row r="10">
      <c r="A10" s="2" t="inlineStr">
        <is>
          <t>v0.4.0 (approved by the Principal on 2026-10-16): GLM-5.3-Flash UD-IQ4_XS is the default resident seat, the vision engine (its glm5v projector loads on the same unit) and the long-document route; DeepSeek-V4-Flash-0731 UD-Q8_K_XL is Arthur's seat and the Apex; gpt-oss-120b is the fast utility and the fallback floor. Qwen2.5-VL-72B, Meditron-70B, Qwen3.5-122B-A10B and the bge pair leave the roster, and Nemotron 3 Super becomes a phased pull. Sizes are decimal GB as Hugging Face lists them; the Arbiter budgets the exact bytes in GiB (D-31). Phase 3 pulls about 448 GB.</t>
        </is>
      </c>
    </row>
    <row r="12">
      <c r="A12" s="3" t="inlineStr">
        <is>
          <t>Phased after Day 1: recorded in the phased list of engines.json, not pulled, rendered or routed on Day 1</t>
        </is>
      </c>
    </row>
    <row r="13">
      <c r="A13" s="10" t="inlineStr">
        <is>
          <t>Planned engine</t>
        </is>
      </c>
      <c r="B13" s="10" t="inlineStr">
        <is>
          <t>Architecture</t>
        </is>
      </c>
      <c r="C13" s="10" t="inlineStr">
        <is>
          <t>Planned file</t>
        </is>
      </c>
      <c r="D13" s="10" t="inlineStr">
        <is>
          <t>Size</t>
        </is>
      </c>
      <c r="E13" s="10" t="inlineStr">
        <is>
          <t>Planned role</t>
        </is>
      </c>
      <c r="F13" s="10" t="inlineStr">
        <is>
          <t>Also waits on</t>
        </is>
      </c>
    </row>
    <row r="14">
      <c r="A14" s="11" t="inlineStr">
        <is>
          <t>Qwen3.8-Flash-Next (qwen3.8-flash-next, Qwen Community 1.0, D-03)</t>
        </is>
      </c>
      <c r="B14" s="11" t="inlineStr">
        <is>
          <t>125B MoE plus 51B of n-gram embeddings, 6B active (qwen4exp; b11330 or later)</t>
        </is>
      </c>
      <c r="C14" s="11" t="inlineStr">
        <is>
          <t>unsloth UD-Q6_K_XL, six files (D-28 (a))</t>
        </is>
      </c>
      <c r="D14" s="11" t="inlineStr">
        <is>
          <t>169.17 GB (157.55 GiB)</t>
        </is>
      </c>
      <c r="E14" s="11" t="inlineStr">
        <is>
          <t>The Deep Think third opinion (S-43; gpt-oss-120b on Day 1); runner-up for Ren and Victor (D-40); corporate challenger</t>
        </is>
      </c>
      <c r="F14" s="11" t="inlineStr">
        <is>
          <t>Its weights alone exceed the ~156 GiB budget (4.1), so D-28 option (c), UD-Q5_K_XL (158.29 GB, 147.42 GiB), applies unless the measured budget allows (a); T-08</t>
        </is>
      </c>
    </row>
    <row r="15">
      <c r="A15" s="11" t="inlineStr">
        <is>
          <t>Nemotron 3 Super (nemotron-3-super, NVIDIA Nemotron Open Model License, D-04)</t>
        </is>
      </c>
      <c r="B15" s="11" t="inlineStr">
        <is>
          <t>120.6B MoE, 12.7B active (nemotron_h_moe)</t>
        </is>
      </c>
      <c r="C15" s="11" t="inlineStr">
        <is>
          <t>unsloth Q8_0, four shards</t>
        </is>
      </c>
      <c r="D15" s="11" t="inlineStr">
        <is>
          <t>128.47 GB (119.65 GiB)</t>
        </is>
      </c>
      <c r="E15" s="11" t="inlineStr">
        <is>
          <t>Long-context utility (a 1M-token window) and the long-document runner-up (D-13 (b), D-38); no longer Arthur's default</t>
        </is>
      </c>
      <c r="F15" s="11" t="inlineStr">
        <is>
          <t>T-12: an alive check after a prompt of 20K tokens or more (#20732, B-32)</t>
        </is>
      </c>
    </row>
    <row r="16">
      <c r="A16" s="11" t="inlineStr">
        <is>
          <t>Intern-S1 (intern-s1, Apache 2.0)</t>
        </is>
      </c>
      <c r="B16" s="11" t="inlineStr">
        <is>
          <t>235B MoE, 22B active (qwen3moe)</t>
        </is>
      </c>
      <c r="C16" s="11" t="inlineStr">
        <is>
          <t>bartowski Q5_K_S, five files (the D-16 default)</t>
        </is>
      </c>
      <c r="D16" s="11" t="inlineStr">
        <is>
          <t>161.96 GB (150.84 GiB)</t>
        </is>
      </c>
      <c r="E16" s="11" t="inlineStr">
        <is>
          <t>Science seat for domains 15, 35 and 36 (D-17), reached as in 8.4; Minerva's runner-up (D-40)</t>
        </is>
      </c>
      <c r="F16" s="11" t="inlineStr">
        <is>
          <t>The Principal's context target (D-16; to-do, defaulted to Q5_K_S at about 23K tokens, which 4.1 finds short at ~156 GiB); Q4_K_M (142.65 GB, 132.86 GiB) for a longer context</t>
        </is>
      </c>
    </row>
    <row r="17">
      <c r="A17" s="11" t="inlineStr">
        <is>
          <t>Ling-3.0-flash-Fin (ling-3.0-flash-fin, MIT)</t>
        </is>
      </c>
      <c r="B17" s="11" t="inlineStr">
        <is>
          <t>124B MoE, 5.1B active (bailingmoe3)</t>
        </is>
      </c>
      <c r="C17" s="11" t="inlineStr">
        <is>
          <t>bartowski Q8_0, four files</t>
        </is>
      </c>
      <c r="D17" s="11" t="inlineStr">
        <is>
          <t>135.63 GB (126.32 GiB)</t>
        </is>
      </c>
      <c r="E17" s="11" t="inlineStr">
        <is>
          <t>Silas's finance-tuned second engine and runner-up (D-18, D-40), on TF_GAMMA, TF_DELTA and TF_EPSILON (8.4)</t>
        </is>
      </c>
      <c r="F17" s="11" t="inlineStr">
        <is>
          <t>Nothing beyond the event above</t>
        </is>
      </c>
    </row>
    <row r="18">
      <c r="A18" s="11" t="inlineStr">
        <is>
          <t>Baichuan-M3-235B (baichuan-m3-235b, Apache 2.0)</t>
        </is>
      </c>
      <c r="B18" s="11" t="inlineStr">
        <is>
          <t>235B MoE, 22B active (qwen3moe)</t>
        </is>
      </c>
      <c r="C18" s="11" t="inlineStr">
        <is>
          <t>mradermacher Q5_K_S, one file (the D-16 default)</t>
        </is>
      </c>
      <c r="D18" s="11" t="inlineStr">
        <is>
          <t>161.88 GB (150.76 GiB)</t>
        </is>
      </c>
      <c r="E18" s="11" t="inlineStr">
        <is>
          <t>Minerva's medical cross-check (D-15 (a), S-31), on TF_UPSILON; replaces Meditron-70B</t>
        </is>
      </c>
      <c r="F18" s="11" t="inlineStr">
        <is>
          <t>T-11 (no independent score); the Principal's context target (D-16; to-do, as for Intern-S1); the official Q4_K_M (143.78 GB, 133.91 GiB) for a longer context</t>
        </is>
      </c>
    </row>
    <row r="19">
      <c r="A19" s="11" t="inlineStr">
        <is>
          <t>Qwen3-Coder-Next (qwen3-coder-next, Apache 2.0 per its card)</t>
        </is>
      </c>
      <c r="B19" s="11" t="inlineStr">
        <is>
          <t>79.7B MoE, 3B active (qwen3next)</t>
        </is>
      </c>
      <c r="C19" s="11" t="inlineStr">
        <is>
          <t>Qwen Q8_0, four files (D-19 (a))</t>
        </is>
      </c>
      <c r="D19" s="11" t="inlineStr">
        <is>
          <t>84.81 GB (78.99 GiB)</t>
        </is>
      </c>
      <c r="E19" s="11" t="inlineStr">
        <is>
          <t>The dedicated coder seat (P-16), on TF_MU (8.4)</t>
        </is>
      </c>
      <c r="F19" s="11" t="inlineStr">
        <is>
          <t>Whether the Principal wants a dedicated coder seat (D-19); otherwise GLM-5.3-Flash covers coding</t>
        </is>
      </c>
    </row>
    <row r="20">
      <c r="A20" s="2" t="inlineStr">
        <is>
          <t>Where a persona's approved runner-up is one of these, its Day 1 fallback is gpt-oss-120b. To-do for each: the post-Day-1 pull, with the same checksum and load tests; the event: the Phase 3 gate passed with the measured budget recorded. The D-16 context targets of Intern-S1 and Baichuan-M3 default to Q5_K_S at about 23K tokens.</t>
        </is>
      </c>
    </row>
    <row r="22">
      <c r="A22" s="3" t="inlineStr">
        <is>
          <t>Resident small models (D16, reopening D4)</t>
        </is>
      </c>
    </row>
    <row r="23">
      <c r="A23" s="10" t="inlineStr">
        <is>
          <t>Role</t>
        </is>
      </c>
      <c r="B23" s="10" t="inlineStr">
        <is>
          <t>Requirement</t>
        </is>
      </c>
      <c r="C23" s="10" t="inlineStr">
        <is>
          <t>Day 1 model (v0.4.0)</t>
        </is>
      </c>
    </row>
    <row r="24">
      <c r="A24" s="11" t="inlineStr">
        <is>
          <t>Eleanor's router and classifier</t>
        </is>
      </c>
      <c r="B24" s="11" t="inlineStr">
        <is>
          <t>~4B, instruction-following, fast, always resident, separate from the seat</t>
        </is>
      </c>
      <c r="C24" s="11" t="inlineStr">
        <is>
          <t>Qwen3.5-4B Q8_0 (router-qwen3.5-4b), 4.48 GB, on the iGPU: unchanged (C-01)</t>
        </is>
      </c>
    </row>
    <row r="25">
      <c r="A25" s="11" t="inlineStr">
        <is>
          <t>Embeddings</t>
        </is>
      </c>
      <c r="B25" s="11" t="inlineStr">
        <is>
          <t>Multilingual-ready, strong retrieval</t>
        </is>
      </c>
      <c r="C25" s="11" t="inlineStr">
        <is>
          <t>Qwen3-Embedding-4B Q8_0 (embed-qwen3-4b), 4.28 GB, on the CPU, its vectors truncated to the 1024-dim schema (C-02, S-41, 10.1)</t>
        </is>
      </c>
    </row>
    <row r="26">
      <c r="A26" s="11" t="inlineStr">
        <is>
          <t>Reranker</t>
        </is>
      </c>
      <c r="B26" s="11" t="inlineStr">
        <is>
          <t>Improves RAG precision</t>
        </is>
      </c>
      <c r="C26" s="11" t="inlineStr">
        <is>
          <t>Qwen3-Reranker-4B Q8_0 (rerank-qwen3-4b), a 4.28 GB conversion that carries the rank head, on the CPU (C-03)</t>
        </is>
      </c>
    </row>
    <row r="27">
      <c r="A27" s="2" t="inlineStr">
        <is>
          <t>The router stays at 4B and does classification only (P-10); Eleanor's own persona work runs on GLM-5.3-Flash. The Qwen3 embedder and reranker run on the CPU (--device none), indexed before Day 1 with the 1024-dim schema kept by truncation (D-45 (a)), and the Arbiter charges them as a host resident set. The reranker has no caller on Day 1 (to-do).</t>
        </is>
      </c>
    </row>
    <row r="29">
      <c r="A29" s="3" t="inlineStr">
        <is>
          <t>The two hemispheres</t>
        </is>
      </c>
    </row>
    <row r="30">
      <c r="A30" s="10" t="inlineStr">
        <is>
          <t>Attribute</t>
        </is>
      </c>
      <c r="B30" s="10" t="inlineStr">
        <is>
          <t>Ren Ackerman — Vanguard, Prime Director</t>
        </is>
      </c>
      <c r="C30" s="10" t="inlineStr">
        <is>
          <t>Arthur Sterling — Architect, Estate Manager</t>
        </is>
      </c>
    </row>
    <row r="31">
      <c r="A31" s="11" t="inlineStr">
        <is>
          <t>Hemisphere</t>
        </is>
      </c>
      <c r="B31" s="11" t="inlineStr">
        <is>
          <t>Offensive, creative, expansive, outward-facing</t>
        </is>
      </c>
      <c r="C31" s="11" t="inlineStr">
        <is>
          <t>Defensive, regimented, private, guardian of personal data</t>
        </is>
      </c>
    </row>
    <row r="32">
      <c r="A32" s="11" t="inlineStr">
        <is>
          <t>Domain mandate</t>
        </is>
      </c>
      <c r="B32" s="11" t="inlineStr">
        <is>
          <t>Corporate, Enterprise, Infrastructure, AEC</t>
        </is>
      </c>
      <c r="C32" s="11" t="inlineStr">
        <is>
          <t>Estate, Private Health, Logistics, Family</t>
        </is>
      </c>
    </row>
    <row r="33">
      <c r="A33" s="11" t="inlineStr">
        <is>
          <t>Default engine</t>
        </is>
      </c>
      <c r="B33" s="11" t="inlineStr">
        <is>
          <t>GLM-5.3-Flash (v0.4.0, P-01; was gpt-oss-120b)</t>
        </is>
      </c>
      <c r="C33" s="11" t="inlineStr">
        <is>
          <t>DeepSeek-V4-Flash-0731, the Apex engine's own unit (v0.4.0, P-02; was Nemotron 3 Super)</t>
        </is>
      </c>
    </row>
    <row r="34">
      <c r="A34" s="11" t="inlineStr">
        <is>
          <t>Override engine</t>
        </is>
      </c>
      <c r="B34" s="11" t="inlineStr">
        <is>
          <t>gpt-oss-120b abliterated, on Principal's order</t>
        </is>
      </c>
      <c r="C34" s="11" t="inlineStr">
        <is>
          <t>GLM-5.3-Flash for deep document reasoning, the long-document route (v0.4.0, D-38 (a); was Qwen3.5-122B-A10B); and the abliterated engine on the Principal's explicit command (C6 addendum)</t>
        </is>
      </c>
    </row>
    <row r="35">
      <c r="A35" s="11" t="inlineStr">
        <is>
          <t>Apex escalation</t>
        </is>
      </c>
      <c r="B35" s="11" t="inlineStr">
        <is>
          <t>DeepSeek-V4-Flash-0731, on Deep Think deep tier or TF_OMEGA</t>
        </is>
      </c>
      <c r="C35" s="11" t="inlineStr">
        <is>
          <t>The same engine as his default since v0.4.0, so TF_OMEGA and the deep tier's synthesis cost Arthur no swap</t>
        </is>
      </c>
    </row>
    <row r="36">
      <c r="A36" s="11" t="inlineStr">
        <is>
          <t>Fallback engine (v0.4.0, D-40 (a))</t>
        </is>
      </c>
      <c r="B36" s="11" t="inlineStr">
        <is>
          <t>gpt-oss-120b on Day 1 (his runner-up, Qwen3.8-Flash-Next, is phased)</t>
        </is>
      </c>
      <c r="C36" s="11" t="inlineStr">
        <is>
          <t>GLM-5.3-Flash</t>
        </is>
      </c>
    </row>
    <row r="37">
      <c r="A37" s="11" t="inlineStr">
        <is>
          <t>Sampling</t>
        </is>
      </c>
      <c r="B37" s="11" t="inlineStr">
        <is>
          <t>High temperature (0.8) as Deep Think Generator</t>
        </is>
      </c>
      <c r="C37" s="11" t="inlineStr">
        <is>
          <t>Low temperature, not zero, as Deep Think Adversary</t>
        </is>
      </c>
    </row>
    <row r="38">
      <c r="A38" s="11" t="inlineStr">
        <is>
          <t>Deep Think role</t>
        </is>
      </c>
      <c r="B38" s="11" t="inlineStr">
        <is>
          <t>Generator: three divergent trajectories, on GLM-5.3-Flash</t>
        </is>
      </c>
      <c r="C38" s="11" t="inlineStr">
        <is>
          <t>Adversary: rubric-scored verdict, weak concepts killed, on DeepSeek-V4-Flash-0731</t>
        </is>
      </c>
    </row>
    <row r="39">
      <c r="A39" s="11" t="inlineStr">
        <is>
          <t>Code path</t>
        </is>
      </c>
      <c r="B39" s="11" t="inlineStr">
        <is>
          <t>Writes sandbox code</t>
        </is>
      </c>
      <c r="C39" s="11" t="inlineStr">
        <is>
          <t>Audits code for memory and safety before execution, as a second layer over the OS-level sandbox cap</t>
        </is>
      </c>
    </row>
    <row r="40">
      <c r="A40" s="11" t="inlineStr">
        <is>
          <t>Directors</t>
        </is>
      </c>
      <c r="B40" s="11" t="inlineStr">
        <is>
          <t>Gideon, Silas, Valerie, Helena, Eleanor</t>
        </is>
      </c>
      <c r="C40" s="11" t="inlineStr">
        <is>
          <t>Alaric, Minerva, Victor</t>
        </is>
      </c>
    </row>
    <row r="42">
      <c r="A42" s="3" t="inlineStr">
        <is>
          <t>Shadow Cabinet engine map (each seat's Day 1 fallback in the Override column)</t>
        </is>
      </c>
    </row>
    <row r="43">
      <c r="A43" s="10" t="inlineStr">
        <is>
          <t>Director</t>
        </is>
      </c>
      <c r="B43" s="10" t="inlineStr">
        <is>
          <t>Division</t>
        </is>
      </c>
      <c r="C43" s="10" t="inlineStr">
        <is>
          <t>Remit</t>
        </is>
      </c>
      <c r="D43" s="10" t="inlineStr">
        <is>
          <t>Default engine</t>
        </is>
      </c>
      <c r="E43" s="10" t="inlineStr">
        <is>
          <t>Override</t>
        </is>
      </c>
      <c r="F43" s="10" t="inlineStr">
        <is>
          <t>Speaks externally</t>
        </is>
      </c>
    </row>
    <row r="44">
      <c r="A44" s="11" t="inlineStr">
        <is>
          <t>Gideon Vance</t>
        </is>
      </c>
      <c r="B44" s="11" t="inlineStr">
        <is>
          <t>Corporate</t>
        </is>
      </c>
      <c r="C44" s="11" t="inlineStr">
        <is>
          <t>Legal &amp; Compliance</t>
        </is>
      </c>
      <c r="D44" s="11" t="inlineStr">
        <is>
          <t>GLM-5.3-Flash, high reasoning, retrieval-grounded (P-03; was gpt-oss-120b)</t>
        </is>
      </c>
      <c r="E44" s="11" t="inlineStr">
        <is>
          <t>Apex engine (DeepSeek-V4-Flash-0731) for TF_OMEGA; long contracts stay on GLM, the long-document engine (Qwen3.5-122B retired). Fallback: DeepSeek-V4-Flash-0731</t>
        </is>
      </c>
      <c r="F44" s="11" t="inlineStr">
        <is>
          <t>Yes, sensitive tier</t>
        </is>
      </c>
    </row>
    <row r="45">
      <c r="A45" s="11" t="inlineStr">
        <is>
          <t>Silas Thorne</t>
        </is>
      </c>
      <c r="B45" s="11" t="inlineStr">
        <is>
          <t>Corporate</t>
        </is>
      </c>
      <c r="C45" s="11" t="inlineStr">
        <is>
          <t>CFO: capital, audit, banking</t>
        </is>
      </c>
      <c r="D45" s="11" t="inlineStr">
        <is>
          <t>GLM-5.3-Flash + code interpreter for all arithmetic (P-04; was Nemotron 3 Super)</t>
        </is>
      </c>
      <c r="E45" s="11" t="inlineStr">
        <is>
          <t>none on Day 1; Ling-3.0-flash-Fin planned (D-18, phased). Fallback: gpt-oss-120b</t>
        </is>
      </c>
      <c r="F45" s="11" t="inlineStr">
        <is>
          <t>Yes, standard tier</t>
        </is>
      </c>
    </row>
    <row r="46">
      <c r="A46" s="11" t="inlineStr">
        <is>
          <t>Valerie Cross</t>
        </is>
      </c>
      <c r="B46" s="11" t="inlineStr">
        <is>
          <t>Corporate</t>
        </is>
      </c>
      <c r="C46" s="11" t="inlineStr">
        <is>
          <t>Infrastructure, DevOps, AEC, cyber, AEGIS Sandbox</t>
        </is>
      </c>
      <c r="D46" s="11" t="inlineStr">
        <is>
          <t>gpt-oss-120b abliterated</t>
        </is>
      </c>
      <c r="E46" s="11" t="inlineStr">
        <is>
          <t>none on Day 1: Qwen2.5-VL-72B is retired (S-10); Qwen3-Coder-Next and Intern-S1 planned (S-32, phased)</t>
        </is>
      </c>
      <c r="F46" s="11" t="inlineStr">
        <is>
          <t>Yes, standard tier</t>
        </is>
      </c>
    </row>
    <row r="47">
      <c r="A47" s="11" t="inlineStr">
        <is>
          <t>Helena Frost</t>
        </is>
      </c>
      <c r="B47" s="11" t="inlineStr">
        <is>
          <t>Corporate</t>
        </is>
      </c>
      <c r="C47" s="11" t="inlineStr">
        <is>
          <t>Communications, brand, PR, crisis</t>
        </is>
      </c>
      <c r="D47" s="11" t="inlineStr">
        <is>
          <t>GLM-5.3-Flash (P-06; was gpt-oss-120b)</t>
        </is>
      </c>
      <c r="E47" s="11" t="inlineStr">
        <is>
          <t>none. Fallback: DeepSeek-V4-Flash-0731</t>
        </is>
      </c>
      <c r="F47" s="11" t="inlineStr">
        <is>
          <t>Yes, standard tier</t>
        </is>
      </c>
    </row>
    <row r="48">
      <c r="A48" s="11" t="inlineStr">
        <is>
          <t>Eleanor Croft</t>
        </is>
      </c>
      <c r="B48" s="11" t="inlineStr">
        <is>
          <t>Corporate</t>
        </is>
      </c>
      <c r="C48" s="11" t="inlineStr">
        <is>
          <t>Routing, scheduling, triage; the 4-Way Router's classifier</t>
        </is>
      </c>
      <c r="D48" s="11" t="inlineStr">
        <is>
          <t>GLM-5.3-Flash for her persona work (P-10; was the resident 4B model); classification stays on the resident 4B router (5.3)</t>
        </is>
      </c>
      <c r="E48" s="11" t="inlineStr">
        <is>
          <t>none. Fallback: gpt-oss-120b</t>
        </is>
      </c>
      <c r="F48" s="11" t="inlineStr">
        <is>
          <t>Yes, routine tier (scheduling)</t>
        </is>
      </c>
    </row>
    <row r="49">
      <c r="A49" s="11" t="inlineStr">
        <is>
          <t>Alaric Stone</t>
        </is>
      </c>
      <c r="B49" s="11" t="inlineStr">
        <is>
          <t>Estate</t>
        </is>
      </c>
      <c r="C49" s="11" t="inlineStr">
        <is>
          <t>Physical assets, security, threat mitigation; Sentinel threat watch</t>
        </is>
      </c>
      <c r="D49" s="11" t="inlineStr">
        <is>
          <t>GLM-5.3-Flash (was Nemotron 3 Super)</t>
        </is>
      </c>
      <c r="E49" s="11" t="inlineStr">
        <is>
          <t>none. Fallback: gpt-oss-120b</t>
        </is>
      </c>
      <c r="F49" s="11" t="inlineStr">
        <is>
          <t>Yes, sensitive tier</t>
        </is>
      </c>
    </row>
    <row r="50">
      <c r="A50" s="11" t="inlineStr">
        <is>
          <t>Minerva Hale</t>
        </is>
      </c>
      <c r="B50" s="11" t="inlineStr">
        <is>
          <t>Estate</t>
        </is>
      </c>
      <c r="C50" s="11" t="inlineStr">
        <is>
          <t>Private health, longevity; medical data</t>
        </is>
      </c>
      <c r="D50" s="11" t="inlineStr">
        <is>
          <t>GLM-5.3-Flash, retrieval-grounded (P-07; was gpt-oss-120b), which also reads her scans and long records</t>
        </is>
      </c>
      <c r="E50" s="11" t="inlineStr">
        <is>
          <t>Strong cross-check by Arthur on DeepSeek-V4-Flash-0731 on Day 1 (9.2); Baichuan-M3-235B cross-check and Intern-S1 planned (D-15, D-17, phased). Fallback: gpt-oss-120b</t>
        </is>
      </c>
      <c r="F50" s="11" t="inlineStr">
        <is>
          <t>Yes, sensitive tier</t>
        </is>
      </c>
    </row>
    <row r="51">
      <c r="A51" s="11" t="inlineStr">
        <is>
          <t>Victor Vale</t>
        </is>
      </c>
      <c r="B51" s="11" t="inlineStr">
        <is>
          <t>Estate</t>
        </is>
      </c>
      <c r="C51" s="11" t="inlineStr">
        <is>
          <t>Aviation, transport, concierge</t>
        </is>
      </c>
      <c r="D51" s="11" t="inlineStr">
        <is>
          <t>GLM-5.3-Flash (P-08; was gpt-oss-120b)</t>
        </is>
      </c>
      <c r="E51" s="11" t="inlineStr">
        <is>
          <t>none. Fallback: gpt-oss-120b</t>
        </is>
      </c>
      <c r="F51"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row r="29">
      <c r="A29" s="2" t="inlineStr">
        <is>
          <t>v0.4.0 (S-29, D-37): owners and tiers unchanged. A preset reaches a seat only through its owner's binding or its engine field, never a domain card; on Day 1 only TF_OMEGA carries one (deepseek-v4-flash, the Apex), and every other preset runs on its owner's default engine (GLM-5.3-Flash for every director but Valerie, whose engine is unchanged). The phased engines a preset will carry are named in task-forces.json notes: Ling-3.0-flash-Fin on TF_GAMMA, TF_DELTA and TF_EPSILON, Qwen3-Coder-Next on TF_MU, Baichuan-M3 and Intern-S1 on TF_UPSILON. No new prefix.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UI-TARS-1.5-7B for vision-driven GUI work (15.2; corrected in v0.4.0, B-11: UI-TARS 2.0 has no open weights and stays on the watch-list, 15.5)</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 *v0.4.0 (C-09, S-15):* 0.1.7 stays on Day 1. Chatterbox Turbo (350M, English) and Multilingual V3 (0.5B, 23 languages), both MIT, are phased. To-do: T-23, a test on the ROCm 10.0 image (load, real-time factor, the continuation quirk); the event: the Phase 4 gate passed</t>
        </is>
      </c>
    </row>
    <row r="8">
      <c r="A8" s="11" t="inlineStr">
        <is>
          <t>Not adopted</t>
        </is>
      </c>
      <c r="B8" s="11" t="inlineStr">
        <is>
          <t>Fish Audio S2 (Pro tier is research-licensed), Qwen-Audio-3.0-TTS (hosted only); *v0.4.0 (S-52):* Higgs v3 and Fish S2-Pro (non-commercial)</t>
        </is>
      </c>
      <c r="C8" s="11" t="inlineStr">
        <is>
          <t>Excluded</t>
        </is>
      </c>
    </row>
    <row r="9">
      <c r="A9" s="11" t="inlineStr">
        <is>
          <t>Text-to-speech, test (v0.4.0, S-57; was the watch-list)</t>
        </is>
      </c>
      <c r="B9" s="11" t="inlineStr">
        <is>
          <t>Qwen3-TTS-12Hz-1.7B-Base (open, local; ggml-org Q8_0, 1.85 GB plus a 0.45 GB mmproj)</t>
        </is>
      </c>
      <c r="C9" s="11" t="inlineStr">
        <is>
          <t>Phased test after Day 1 (C-10, T-22): through the llama-tts tool on the pinned Vulkan build, because llama-server has no speech endpoint until llama.cpp PR #26603 merges (15.5); then in the V7 listening set beside Kokoro and Chatterbox (T-24). Not a Day 1 dependency</t>
        </is>
      </c>
    </row>
    <row r="10">
      <c r="A10" s="11" t="inlineStr">
        <is>
          <t>Speech-to-text</t>
        </is>
      </c>
      <c r="B10" s="11" t="inlineStr">
        <is>
          <t>Whisper Large-v3-Turbo via whisper.cpp or faster-whisper</t>
        </is>
      </c>
      <c r="C10" s="11" t="inlineStr">
        <is>
          <t>Local. *v0.4.0 (C-05, S-14):* kept on Day 1 and as the fallback. Qwen3-ASR-1.7B (ggml-org Q8_0, 2.17 GB plus a 0.36 GB mmproj, on llama-server's /v1/audio/transcriptions at the pin) and Phi-4-multimodal are candidates for a word-error-rate test on the Principal's audio (T-20), phased; Open WebUI's speech endpoint changes only if the test favours one</t>
        </is>
      </c>
    </row>
    <row r="11">
      <c r="A11" s="11" t="inlineStr">
        <is>
          <t>Speaker diarisation</t>
        </is>
      </c>
      <c r="B11" s="11" t="inlineStr">
        <is>
          <t>pyannote speaker-diarization-community-1 (v0.4.0, C-06; was PyAnnote 3.1)</t>
        </is>
      </c>
      <c r="C11" s="11" t="inlineStr">
        <is>
          <t>Local, on the CPU, on the same pyannote.audio 4.0.7 install. VERIFY V6: the model is gated on Hugging Face (CC-BY-4.0, an automatically approved form, one self-contained repository); the licence must be accepted once with a token during Phase 2. V6 probes 3.1 only as a diagnostic when community-1 is refused</t>
        </is>
      </c>
    </row>
    <row r="12">
      <c r="A12" s="11" t="inlineStr">
        <is>
          <t>Speaker diarisation, primary after Day 1 (v0.4.0, phased)</t>
        </is>
      </c>
      <c r="B12" s="11" t="inlineStr">
        <is>
          <t>Nemotron 3 Diarization (official Q8_0, 0.11 GB, OpenMDW-1.1 accepted under D-05) through NeMo-Speech.cpp on the node's ggml and Vulkan stack</t>
        </is>
      </c>
      <c r="C12" s="11" t="inlineStr">
        <is>
          <t>Phased (C-06, S-04); community-1 then becomes its fallback for recordings with more than eight speakers. To-do: a pinned NeMo-Speech.cpp build step and V6 rewritten for it. The event: T-21, its speed and diarisation error on gfx1151 against community-1 and 3.1 on the Principal's recordings, after Day 1</t>
        </is>
      </c>
    </row>
    <row r="13">
      <c r="A13" s="11" t="inlineStr">
        <is>
          <t>Not adopted, diarisation and speech-to-text (v0.4.0, S-52)</t>
        </is>
      </c>
      <c r="B13" s="11" t="inlineStr">
        <is>
          <t>DiariZen (CC BY-NC, non-commercial); Sortformer (a four-speaker cap); pyannoteAI precision-2 and -3 (hosted, so they fail zero-cloud); Parakeet TDT and Canary-Qwen (NeMo, CUDA only)</t>
        </is>
      </c>
      <c r="C13" s="11" t="inlineStr">
        <is>
          <t>Excluded</t>
        </is>
      </c>
    </row>
    <row r="14">
      <c r="A14" s="11" t="inlineStr">
        <is>
          <t>Music and sound</t>
        </is>
      </c>
      <c r="B14" s="11" t="inlineStr">
        <is>
          <t>Stable Audio Open</t>
        </is>
      </c>
      <c r="C14" s="11" t="inlineStr">
        <is>
          <t>Phase 4</t>
        </is>
      </c>
    </row>
    <row r="15">
      <c r="A15" s="11" t="inlineStr">
        <is>
          <t>Voice cloning alternative</t>
        </is>
      </c>
      <c r="B15" s="11" t="inlineStr">
        <is>
          <t>CosyVoice2</t>
        </is>
      </c>
      <c r="C15" s="11" t="inlineStr">
        <is>
          <t>Phase 4, optional</t>
        </is>
      </c>
    </row>
    <row r="16">
      <c r="A16" s="2" t="inlineStr">
        <is>
          <t>v0.4.0 (approved by the Principal on 2026-10-16): the one Day 1 change is the diariser, pyannote speaker-diarization-community-1 in place of 3.1 (C-06; V6 probes 3.1 only as a diagnostic). Nemotron 3 Diarization, Chatterbox Turbo and Multilingual V3, Qwen3-TTS and the Qwen3-ASR word-error-rate test are phased after Day 1, each on its node test with the Principal's own audio (T-20 to T-24).</t>
        </is>
      </c>
    </row>
    <row r="18">
      <c r="A18" s="3" t="inlineStr">
        <is>
          <t>Voice casting shortlist</t>
        </is>
      </c>
    </row>
    <row r="19">
      <c r="A19" s="10" t="inlineStr">
        <is>
          <t>Persona</t>
        </is>
      </c>
      <c r="B19" s="10" t="inlineStr">
        <is>
          <t>Description</t>
        </is>
      </c>
      <c r="C19" s="10" t="inlineStr">
        <is>
          <t>Kokoro candidates</t>
        </is>
      </c>
      <c r="D19" s="10" t="inlineStr">
        <is>
          <t>Path</t>
        </is>
      </c>
    </row>
    <row r="20">
      <c r="A20" s="11" t="inlineStr">
        <is>
          <t>Arthur</t>
        </is>
      </c>
      <c r="B20" s="11" t="inlineStr">
        <is>
          <t>Male. Formal, patient, structured, deep resonance, calming British or Transatlantic cadence</t>
        </is>
      </c>
      <c r="C20" s="11" t="inlineStr">
        <is>
          <t>bm_george, alternate bm_daniel</t>
        </is>
      </c>
      <c r="D20" s="11" t="inlineStr">
        <is>
          <t>Kokoro preset</t>
        </is>
      </c>
    </row>
    <row r="21">
      <c r="A21" s="11" t="inlineStr">
        <is>
          <t>Ren</t>
        </is>
      </c>
      <c r="B21" s="11" t="inlineStr">
        <is>
          <t>Male. Sharp, direct, fast, aggressive modern executive cadence with expressive pauses</t>
        </is>
      </c>
      <c r="C21" s="11" t="inlineStr">
        <is>
          <t>am_onyx, alternate am_michael</t>
        </is>
      </c>
      <c r="D21" s="11" t="inlineStr">
        <is>
          <t>Kokoro preset, Chatterbox for intensity if needed</t>
        </is>
      </c>
    </row>
    <row r="22">
      <c r="A22" s="11" t="inlineStr">
        <is>
          <t>Alaric Stone</t>
        </is>
      </c>
      <c r="B22" s="11" t="inlineStr">
        <is>
          <t>Male. Grounded, authoritative, gravelly veteran security director</t>
        </is>
      </c>
      <c r="C22" s="11" t="inlineStr">
        <is>
          <t>No preset delivers gravel</t>
        </is>
      </c>
      <c r="D22" s="11" t="inlineStr">
        <is>
          <t>Chatterbox clone from a reference recording</t>
        </is>
      </c>
    </row>
    <row r="23">
      <c r="A23" s="11" t="inlineStr">
        <is>
          <t>Minerva Hale</t>
        </is>
      </c>
      <c r="B23" s="11" t="inlineStr">
        <is>
          <t>Female. Calm, analytical, articulate, clinical</t>
        </is>
      </c>
      <c r="C23" s="11" t="inlineStr">
        <is>
          <t>af_kore, alternate bf_isabella</t>
        </is>
      </c>
      <c r="D23" s="11" t="inlineStr">
        <is>
          <t>Kokoro preset</t>
        </is>
      </c>
    </row>
    <row r="24">
      <c r="A24" s="11" t="inlineStr">
        <is>
          <t>Victor Vale</t>
        </is>
      </c>
      <c r="B24" s="11" t="inlineStr">
        <is>
          <t>Male. Crisp, rapid, flawlessly polite, aviation concierge</t>
        </is>
      </c>
      <c r="C24" s="11" t="inlineStr">
        <is>
          <t>bm_lewis, alternate bm_daniel</t>
        </is>
      </c>
      <c r="D24" s="11" t="inlineStr">
        <is>
          <t>Kokoro preset</t>
        </is>
      </c>
    </row>
    <row r="25">
      <c r="A25" s="11" t="inlineStr">
        <is>
          <t>Gideon Vance</t>
        </is>
      </c>
      <c r="B25" s="11" t="inlineStr">
        <is>
          <t>Measured, meticulous, deep, litigator in absolute facts</t>
        </is>
      </c>
      <c r="C25" s="11" t="inlineStr">
        <is>
          <t>bm_george if Arthur takes bm_daniel, else am_onyx reassigned</t>
        </is>
      </c>
      <c r="D25" s="11" t="inlineStr">
        <is>
          <t>Kokoro preset or Chatterbox clone to separate from Arthur</t>
        </is>
      </c>
    </row>
    <row r="26">
      <c r="A26" s="11" t="inlineStr">
        <is>
          <t>Silas Thorne</t>
        </is>
      </c>
      <c r="B26" s="11" t="inlineStr">
        <is>
          <t>Male. Sharp, cold, calculated quant</t>
        </is>
      </c>
      <c r="C26" s="11" t="inlineStr">
        <is>
          <t>am_eric, alternate am_echo</t>
        </is>
      </c>
      <c r="D26" s="11" t="inlineStr">
        <is>
          <t>Kokoro preset</t>
        </is>
      </c>
    </row>
    <row r="27">
      <c r="A27" s="11" t="inlineStr">
        <is>
          <t>Valerie Cross</t>
        </is>
      </c>
      <c r="B27" s="11" t="inlineStr">
        <is>
          <t>Female. Direct, brilliant, slightly impatient engineer</t>
        </is>
      </c>
      <c r="C27" s="11" t="inlineStr">
        <is>
          <t>af_nova, alternate af_river</t>
        </is>
      </c>
      <c r="D27" s="11" t="inlineStr">
        <is>
          <t>Kokoro preset</t>
        </is>
      </c>
    </row>
    <row r="28">
      <c r="A28" s="11" t="inlineStr">
        <is>
          <t>Helena Frost</t>
        </is>
      </c>
      <c r="B28" s="11" t="inlineStr">
        <is>
          <t>Female. Charismatic, persuasive, perfectly modulated PR executive</t>
        </is>
      </c>
      <c r="C28" s="11" t="inlineStr">
        <is>
          <t>af_bella, alternate bf_emma</t>
        </is>
      </c>
      <c r="D28" s="11" t="inlineStr">
        <is>
          <t>Kokoro preset, Chatterbox for modulation if needed</t>
        </is>
      </c>
    </row>
    <row r="29">
      <c r="A29" s="11" t="inlineStr">
        <is>
          <t>Eleanor Croft</t>
        </is>
      </c>
      <c r="B29" s="11" t="inlineStr">
        <is>
          <t>Female. Warm, efficient, observant</t>
        </is>
      </c>
      <c r="C29" s="11" t="inlineStr">
        <is>
          <t>af_sarah, alternate af_heart</t>
        </is>
      </c>
      <c r="D29" s="11" t="inlineStr">
        <is>
          <t>Kokoro preset</t>
        </is>
      </c>
    </row>
    <row r="30">
      <c r="A30"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since v0.4.0 a Phase 4 engine never runs beside an LLM seat (D-50 (a)).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This is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Z-Image-Turbo; Qwen-Image-2512 for evaluation (v0.4.0, phased; C-11, S-16)</t>
        </is>
      </c>
      <c r="B20" s="11" t="inlineStr">
        <is>
          <t>Image generation: a permissive fast tier beside FLUX.1-dev (6B, Apache 2.0), and a larger Apache 2.0 engine to evaluate</t>
        </is>
      </c>
      <c r="C20" s="11" t="inlineStr">
        <is>
          <t>Phased after Day 1 (D-26 option (c)): not in phase4-engines.json on Day 1. To-do: their Phase 4 entries and build scripts, with stable-diffusion.cpp on Vulkan as the fallback runtime. The event: T-25 times them on gfx1151 in the ROCm 10.0 image after the Phase 4 gate</t>
        </is>
      </c>
      <c r="D20" s="11" t="inlineStr">
        <is>
          <t>about 12 GB (BF16); about 40 GB</t>
        </is>
      </c>
      <c r="E20" s="11" t="inlineStr">
        <is>
          <t>Domains 8 and 12</t>
        </is>
      </c>
    </row>
    <row r="21">
      <c r="A21" s="11" t="inlineStr">
        <is>
          <t>Qwen2.5-VL-72B at Q8_0 (retired in v0.4.0)</t>
        </is>
      </c>
      <c r="B21" s="11" t="inlineStr">
        <is>
          <t>Was the sole vision engine: documents, drawings, screenshots, scans</t>
        </is>
      </c>
      <c r="C21" s="11" t="inlineStr">
        <is>
          <t>Retired (S-10, S-11; D-20 option (a), D-21 option (a)): the vision engine is GLM-5.3-Flash with its glm5v projector, a Phase 3 GGUF engine on the default seat's own unit (5.1, 14.4), so nothing is built or pulled for it</t>
        </is>
      </c>
      <c r="D21" s="11" t="inlineStr">
        <is>
          <t>was 79 GB</t>
        </is>
      </c>
      <c r="E21" s="11" t="inlineStr">
        <is>
          <t>General. Valerie for drawings, Minerva for scans, Gideon for scanned contracts, now on GLM-5.3-Flash</t>
        </is>
      </c>
    </row>
    <row r="22">
      <c r="A22" s="11" t="inlineStr">
        <is>
          <t>Florence-2</t>
        </is>
      </c>
      <c r="B22" s="11" t="inlineStr">
        <is>
          <t>Lightweight vision, detection, captioning, OCR</t>
        </is>
      </c>
      <c r="C22" s="11" t="inlineStr">
        <is>
          <t>Green; the native florence-community checkpoints, no remote code (Section 23). *v0.4.0 (S-08):* when the phased OCR companion lands (C-04, T-19), whether Florence-2 keeps detection and captioning only is decided with it</t>
        </is>
      </c>
      <c r="D22" s="11" t="inlineStr">
        <is>
          <t>under 2 GB</t>
        </is>
      </c>
      <c r="E22" s="11" t="inlineStr">
        <is>
          <t>General</t>
        </is>
      </c>
    </row>
    <row r="23">
      <c r="A23" s="11" t="inlineStr">
        <is>
          <t>Chronos (Chronos-Bolt / Chronos-2)</t>
        </is>
      </c>
      <c r="B23" s="11" t="inlineStr">
        <is>
          <t>Time-series forecasting. TimesFM dropped in v0.3.1: its current 3.0 release is non-commercial (Section 23)</t>
        </is>
      </c>
      <c r="C23" s="11" t="inlineStr">
        <is>
          <t>Green, Apache-2.0</t>
        </is>
      </c>
      <c r="D23" s="11" t="inlineStr">
        <is>
          <t>under 5 GB</t>
        </is>
      </c>
      <c r="E23" s="11" t="inlineStr">
        <is>
          <t>Domain 21, Silas</t>
        </is>
      </c>
    </row>
    <row r="24">
      <c r="A24" s="11" t="inlineStr">
        <is>
          <t>Stable Audio Open</t>
        </is>
      </c>
      <c r="B24" s="11" t="inlineStr">
        <is>
          <t>Music and sound generation</t>
        </is>
      </c>
      <c r="C24" s="11" t="inlineStr">
        <is>
          <t>Green</t>
        </is>
      </c>
      <c r="D24" s="11" t="inlineStr">
        <is>
          <t>under 5 GB</t>
        </is>
      </c>
      <c r="E24" s="11" t="inlineStr">
        <is>
          <t>Domain 12, Helena</t>
        </is>
      </c>
    </row>
    <row r="25">
      <c r="A25" s="11" t="inlineStr">
        <is>
          <t>CosyVoice2</t>
        </is>
      </c>
      <c r="B25" s="11" t="inlineStr">
        <is>
          <t>Voice cloning alternative</t>
        </is>
      </c>
      <c r="C25" s="11" t="inlineStr">
        <is>
          <t>Green</t>
        </is>
      </c>
      <c r="D25" s="11" t="inlineStr">
        <is>
          <t>under 5 GB</t>
        </is>
      </c>
      <c r="E25" s="11" t="inlineStr">
        <is>
          <t>Voice layer, optional</t>
        </is>
      </c>
    </row>
    <row r="26">
      <c r="A26" s="11" t="inlineStr">
        <is>
          <t>UI-TARS-1.5-7B</t>
        </is>
      </c>
      <c r="B26" s="11" t="inlineStr">
        <is>
          <t>Vision-driven GUI automation for RewardPay and Wix design. UI-TARS 2.0 has no open weights (Section 23, watch-list 15.5)</t>
        </is>
      </c>
      <c r="C26" s="11" t="inlineStr">
        <is>
          <t>Green</t>
        </is>
      </c>
      <c r="D26" s="11" t="inlineStr">
        <is>
          <t>8 to 16 GB</t>
        </is>
      </c>
      <c r="E26" s="11" t="inlineStr">
        <is>
          <t>Domain 1, Valerie</t>
        </is>
      </c>
    </row>
    <row r="27">
      <c r="A27" s="11" t="inlineStr">
        <is>
          <t>OpenVLA</t>
        </is>
      </c>
      <c r="B27" s="11" t="inlineStr">
        <is>
          <t>Vision-language-action for robotics</t>
        </is>
      </c>
      <c r="C27" s="11" t="inlineStr">
        <is>
          <t>Green technically, dormant until hardware exists</t>
        </is>
      </c>
      <c r="D27" s="11" t="inlineStr">
        <is>
          <t>8 to 16 GB</t>
        </is>
      </c>
      <c r="E27" s="11" t="inlineStr">
        <is>
          <t>Domain 29, Valerie</t>
        </is>
      </c>
    </row>
    <row r="28">
      <c r="A28" s="11" t="inlineStr">
        <is>
          <t>Rad-DINO</t>
        </is>
      </c>
      <c r="B28" s="11" t="inlineStr">
        <is>
          <t>Radiology vision</t>
        </is>
      </c>
      <c r="C28" s="11" t="inlineStr">
        <is>
          <t>Green. *v0.4.0 (C-12):* kept; MedGemma 1.5 4B (Q8_0, 4.13 GB plus a 0.85 GB mmproj) joins it only if the Principal classes it as an imaging companion rather than an LLM seat and accepts its HAI-DEF terms (to-do; the default is Rad-DINO alone)</t>
        </is>
      </c>
      <c r="D28" s="11" t="inlineStr">
        <is>
          <t>under 2 GB</t>
        </is>
      </c>
      <c r="E28" s="11" t="inlineStr">
        <is>
          <t>Domains 10 and 15, Minerva</t>
        </is>
      </c>
    </row>
    <row r="29">
      <c r="A29" s="11" t="inlineStr">
        <is>
          <t>SAM 2</t>
        </is>
      </c>
      <c r="B29" s="11" t="inlineStr">
        <is>
          <t>Image and video segmentation and tracking</t>
        </is>
      </c>
      <c r="C29" s="11" t="inlineStr">
        <is>
          <t>Green with limitation: build with the CUDA post-processing extension disabled, minor mask cleanup lost</t>
        </is>
      </c>
      <c r="D29" s="11" t="inlineStr">
        <is>
          <t>under 4 GB</t>
        </is>
      </c>
      <c r="E29" s="11" t="inlineStr">
        <is>
          <t>Domains 22 and 7</t>
        </is>
      </c>
    </row>
    <row r="30">
      <c r="A30" s="11" t="inlineStr">
        <is>
          <t>PointLLM</t>
        </is>
      </c>
      <c r="B30" s="11" t="inlineStr">
        <is>
          <t>Point-cloud understanding</t>
        </is>
      </c>
      <c r="C30" s="11" t="inlineStr">
        <is>
          <t>Verify V8: point-cloud ops often carry custom kernels. Licence CC-BY-NC-4.0 (research use; recorded under 16.5)</t>
        </is>
      </c>
      <c r="D30" s="11" t="inlineStr">
        <is>
          <t>8 to 16 GB</t>
        </is>
      </c>
      <c r="E30" s="11" t="inlineStr">
        <is>
          <t>Domains 8 and 29</t>
        </is>
      </c>
    </row>
    <row r="31">
      <c r="A31" s="11" t="inlineStr">
        <is>
          <t>Clay or Prithvi</t>
        </is>
      </c>
      <c r="B31" s="11" t="inlineStr">
        <is>
          <t>Satellite and geospatial analysis</t>
        </is>
      </c>
      <c r="C31" s="11" t="inlineStr">
        <is>
          <t>Verify V9</t>
        </is>
      </c>
      <c r="D31" s="11" t="inlineStr">
        <is>
          <t>under 5 GB</t>
        </is>
      </c>
      <c r="E31" s="11" t="inlineStr">
        <is>
          <t>Domain 7</t>
        </is>
      </c>
    </row>
    <row r="32">
      <c r="A32" s="11" t="inlineStr">
        <is>
          <t>Microsoft TRELLIS</t>
        </is>
      </c>
      <c r="B32" s="11" t="inlineStr">
        <is>
          <t>Image-to-3D</t>
        </is>
      </c>
      <c r="C32" s="11" t="inlineStr">
        <is>
          <t>Yellow: community ROCm forks exist but hit build errors on sparse-voxel kernels, attempt, log, move on</t>
        </is>
      </c>
      <c r="D32" s="11" t="inlineStr">
        <is>
          <t>8 to 12 GB</t>
        </is>
      </c>
      <c r="E32" s="11" t="inlineStr">
        <is>
          <t>Domains 8 and 12</t>
        </is>
      </c>
    </row>
    <row r="33">
      <c r="A33" s="11" t="inlineStr">
        <is>
          <t>Blender 4.5 LTS, Cycles (HIP)</t>
        </is>
      </c>
      <c r="B33" s="11" t="inlineStr">
        <is>
          <t>Photorealistic rendering, the beauty half of "Lumina-PBR"</t>
        </is>
      </c>
      <c r="C33" s="11" t="inlineStr">
        <is>
          <t>Yellow: works on this chip, occasional mid-render crashes reported, CPU-render fallback mandatory</t>
        </is>
      </c>
      <c r="D33" s="11" t="inlineStr">
        <is>
          <t>varies</t>
        </is>
      </c>
      <c r="E33" s="11" t="inlineStr">
        <is>
          <t>Domain 8, Valerie</t>
        </is>
      </c>
    </row>
    <row r="34">
      <c r="A34" s="11" t="inlineStr">
        <is>
          <t>Meditron-70B (retired in v0.4.0)</t>
        </is>
      </c>
      <c r="B34" s="11" t="inlineStr">
        <is>
          <t>Medical cross-check</t>
        </is>
      </c>
      <c r="C34" s="11" t="inlineStr">
        <is>
          <t>Retired (S-11; D-15 option (a), D-21 option (a), D18 reopening D12): Minerva's cross-check moves to Baichuan-M3-235B, phased (5.1); on Day 1 Arthur on DeepSeek-V4-Flash-0731 checks her drafts (9.2)</t>
        </is>
      </c>
      <c r="D34" s="11" t="inlineStr">
        <is>
          <t>was ~74 GB</t>
        </is>
      </c>
      <c r="E34" s="11" t="inlineStr">
        <is>
          <t>Domain 10, Minerva</t>
        </is>
      </c>
    </row>
    <row r="35">
      <c r="A35" s="11" t="inlineStr">
        <is>
          <t>Evo (Arc Institute)</t>
        </is>
      </c>
      <c r="B35" s="11" t="inlineStr">
        <is>
          <t>Genomics</t>
        </is>
      </c>
      <c r="C35" s="11" t="inlineStr">
        <is>
          <t>Deferred: port unverified, and this GPU lacks the FP8 hardware Evo's larger checkpoints expect</t>
        </is>
      </c>
      <c r="D35" s="11" t="inlineStr">
        <is>
          <t>n/a</t>
        </is>
      </c>
      <c r="E35" s="11" t="inlineStr">
        <is>
          <t>Domain 15</t>
        </is>
      </c>
    </row>
    <row r="36">
      <c r="A36" s="11" t="inlineStr">
        <is>
          <t>NVIDIA Modulus / PhysicsNeMo</t>
        </is>
      </c>
      <c r="B36" s="11" t="inlineStr">
        <is>
          <t>Physics simulation</t>
        </is>
      </c>
      <c r="C36" s="11" t="inlineStr">
        <is>
          <t>Deferred: CUDA-locked, would need an NVIDIA card in a USB4 external GPU dock, since this machine has no PCIe slot</t>
        </is>
      </c>
      <c r="D36" s="11" t="inlineStr">
        <is>
          <t>n/a</t>
        </is>
      </c>
      <c r="E36" s="11" t="inlineStr">
        <is>
          <t>Domains 8 and 9</t>
        </is>
      </c>
    </row>
    <row r="37">
      <c r="A37" s="2" t="inlineStr">
        <is>
          <t>v0.4.0: Qwen2.5-VL-72B and Meditron-70B are retired, their rows kept as the record: the vision engine is GLM-5.3-Flash with its glm5v projector, a Phase 3 GGUF engine, and Minerva's cross-check moves to the phased Baichuan-M3. The image tier (Z-Image-Turbo, Qwen-Image-2512) is phased after Day 1 (T-25).</t>
        </is>
      </c>
    </row>
    <row r="39">
      <c r="A39" s="3" t="inlineStr">
        <is>
          <t>Engine watch-list: considered, not adopted (15.5; v0.4.0 adds the 2026 review's items, the phased DeepSeek V4.1 trial among them)</t>
        </is>
      </c>
    </row>
    <row r="40">
      <c r="A40" s="10" t="inlineStr">
        <is>
          <t>Engine</t>
        </is>
      </c>
      <c r="B40" s="10" t="inlineStr">
        <is>
          <t>What it does</t>
        </is>
      </c>
      <c r="C40" s="10" t="inlineStr">
        <is>
          <t>Why not now</t>
        </is>
      </c>
      <c r="D40" s="10" t="inlineStr">
        <is>
          <t>What would change the answer</t>
        </is>
      </c>
      <c r="E40" s="10" t="inlineStr">
        <is>
          <t>Would replace</t>
        </is>
      </c>
    </row>
    <row r="41">
      <c r="A41" s="11" t="inlineStr">
        <is>
          <t>Qwen3.8-LiveTranslate (19 Sep 2026)</t>
        </is>
      </c>
      <c r="B41" s="11" t="inlineStr">
        <is>
          <t>Real-time simultaneous interpretation: 60 languages understood, 29 spoken, about 2.3 s lag</t>
        </is>
      </c>
      <c r="C41" s="11" t="inlineStr">
        <is>
          <t>Hosted API only (Alibaba Cloud Model Studio, QwenCloud, WebSocket). No open weights. Fails the zero-cloud rule (Section 1) on inference off-node and audio leaving the machine</t>
        </is>
      </c>
      <c r="D41" s="11" t="inlineStr">
        <is>
          <t>An open-weights release. Qwen has released weights for Qwen3-Omni, so this is plausible</t>
        </is>
      </c>
      <c r="E41" s="11" t="inlineStr">
        <is>
          <t>Nothing. Live interpretation is an open gap; the Whisper to engine to Kokoro pipeline (14.1) does consecutive translation only, and only in Kokoro's eight languages</t>
        </is>
      </c>
    </row>
    <row r="42">
      <c r="A42" s="11" t="inlineStr">
        <is>
          <t>UI-TARS 2.0</t>
        </is>
      </c>
      <c r="B42" s="11" t="inlineStr">
        <is>
          <t>Vision-driven GUI agent, successor to the 1.5-7B build in 15.2</t>
        </is>
      </c>
      <c r="C42" s="11" t="inlineStr">
        <is>
          <t>Technical report only; no open weights as of September 2026</t>
        </is>
      </c>
      <c r="D42" s="11" t="inlineStr">
        <is>
          <t>An open-weights release</t>
        </is>
      </c>
      <c r="E42" s="11" t="inlineStr">
        <is>
          <t>UI-TARS-1.5-7B</t>
        </is>
      </c>
    </row>
    <row r="43">
      <c r="A43" s="11" t="inlineStr">
        <is>
          <t>Qwen-Image-2.1 (20 Sep 2026)</t>
        </is>
      </c>
      <c r="B43" s="11" t="inlineStr">
        <is>
          <t>Image generation and editing in one 7B checkpoint: native RGBA, 2K, up to ten reference images, strongest text-in-image of its class; about 14 GB BF16, GGUF available, plain BF16 path on gfx1151</t>
        </is>
      </c>
      <c r="C43" s="11" t="inlineStr">
        <is>
          <t>Qwen Research License, non-commercial only. Same restriction that excluded Fish Audio S2 (C20). Not a peer of the vision engine (Qwen2.5-VL-72B until v0.4.0, GLM-5.3-Flash since), which reads images; this one makes them</t>
        </is>
      </c>
      <c r="D43" s="11" t="inlineStr">
        <is>
          <t>Re-licensing to Apache-2.0 (Qwen did this for Qwen2.5 within months) or a commercial licence obtained by the Principal</t>
        </is>
      </c>
      <c r="E43" s="11" t="inlineStr">
        <is>
          <t>FLUX.1-dev outright: half the footprint, generate and edit in one model</t>
        </is>
      </c>
    </row>
    <row r="44">
      <c r="A44" s="11" t="inlineStr">
        <is>
          <t>DeepSeek V4.1 Flash trial (v0.4.0, phased; S-51)</t>
        </is>
      </c>
      <c r="B44" s="11" t="inlineStr">
        <is>
          <t>A 552B successor to the Apex's 0731 checkpoint, run for evaluation only, outside the routed roster: DwarfStar with antirez's Q2 file (365.71 GB, 151.76 GiB resident, KL about 0.26; 14 to 16.5 tok/s measured by others on a Strix Halo machine, UNVERIFIED here) in kyuz0's ROCm 10.0 container</t>
        </is>
      </c>
      <c r="C44" s="11" t="inlineStr">
        <is>
          <t>Every fitting V4.1 file is 2 to 3 bits; mainline llama.cpp cannot run it (next row); it needs a ROCm LLM container the node has never run. Approved as a phased trial (D-46 option (b), D-51 option (a), D-52 option (b), D-54 option (a), D-57 option (b)): pinned by image digest, source commit and file hashes, the inbox amdgpu driver only, locked memory for that container alone, registered with the Arbiter as an exclusive external engine, built after Day 1 and never by atlas-day1.sh, one trial file at a time</t>
        </is>
      </c>
      <c r="D44" s="11" t="inlineStr">
        <is>
          <t>To-do: the trial build script and image (S-51); the Principal's 30 to 50 blind-scored Deep Think and TF_OMEGA-style tasks (T-30) and the deep-tier floor (D-47). The event: Day 1 complete, with D-46, D-47 and D-51 to D-54 answered. T-29 checks the container first and T-31 its speed; the Lucebox engine is a second stage only if the first shows promise (T-32)</t>
        </is>
      </c>
      <c r="E44" s="11" t="inlineStr">
        <is>
          <t>DeepSeek-V4-Flash-0731 as the Apex, only if V4.1 wins T-30</t>
        </is>
      </c>
    </row>
    <row r="45">
      <c r="A45" s="11" t="inlineStr">
        <is>
          <t>DeepSeek V4.1 Flash runtimes: llama.cpp PR #28696 and ik_llama.cpp (added 2026-10-16, B-66)</t>
        </is>
      </c>
      <c r="B45" s="11" t="inlineStr">
        <is>
          <t>Mainline and fork support for V4.1</t>
        </is>
      </c>
      <c r="C45" s="11" t="inlineStr">
        <is>
          <t>No deepseek41 architecture in the pin. #28696 is open, CPU and CUDA only, with a cap near 16K context and no backend kernels; its Q2_K would need 186.17 GiB resident and spill 30.2 GiB to the SSD. ik_llama.cpp merged V4.1 on 2026-09-21, CPU and CUDA only, an unmeasured path here (UNVERIFIED)</t>
        </is>
      </c>
      <c r="D45" s="11" t="inlineStr">
        <is>
          <t>#28696 merges with Vulkan or HIP kernels</t>
        </is>
      </c>
      <c r="E45" s="11" t="inlineStr">
        <is>
          <t>The trial's ROCm container (row above)</t>
        </is>
      </c>
    </row>
    <row r="46">
      <c r="A46" s="11" t="inlineStr">
        <is>
          <t>Single-stream speculative decoding (added 2026-10-16; D-61, B-34, D-64 option (a))</t>
        </is>
      </c>
      <c r="B46" s="11" t="inlineStr">
        <is>
          <t>A draft with exact verification: native MTP heads (GLM-5.3-Flash, Qwen3.8-Flash-Next, Nemotron 3 Super) or DSpark for DeepSeek-V4-Flash-0731. It pays off here because the seats run one at a time</t>
        </is>
      </c>
      <c r="C46" s="11" t="inlineStr">
        <is>
          <t>No drafter is pulled on Day 1, and draft acceptance at the node's temperature 1.0 is unmeasured. DSpark (10.90 GB) does not fit beside UD-Q8_K_XL in the ~156 GiB budget (160.90 GiB together, INFERRED), so it applies to DeepSeek only at a lower rung; separate draft models are never used</t>
        </is>
      </c>
      <c r="D46" s="11" t="inlineStr">
        <is>
          <t>Decided per engine after the Phase 3 speed records, with acceptance measured at temperature 1.0, first in the V4.1 trial (T-31); phased with the drafters (5.1)</t>
        </is>
      </c>
      <c r="E46" s="11" t="inlineStr">
        <is>
          <t>Nothing: a lossless acceleration under 16.1 rule 9</t>
        </is>
      </c>
    </row>
    <row r="47">
      <c r="A47" s="11" t="inlineStr">
        <is>
          <t>GLM Legal (added 2026-10-16, B-61)</t>
        </is>
      </c>
      <c r="B47" s="11" t="inlineStr">
        <is>
          <t>A legal model of the GLM family, the top open-weight result on Vals' LegalBench (about 86.2%, UNVERIFIED here)</t>
        </is>
      </c>
      <c r="C47" s="11" t="inlineStr">
        <is>
          <t>API beta only; parameter count, licence and GGUF unknown. Fails the zero-cloud rule (Section 1)</t>
        </is>
      </c>
      <c r="D47" s="11" t="inlineStr">
        <is>
          <t>Open weights with a GGUF that fits alone and a licence that can be read</t>
        </is>
      </c>
      <c r="E47" s="11" t="inlineStr">
        <is>
          <t>GLM-5.3-Flash on Gideon's legal work</t>
        </is>
      </c>
    </row>
    <row r="48">
      <c r="A48" s="11" t="inlineStr">
        <is>
          <t>Mistral Large 4 (added 2026-10-16, B-61)</t>
        </is>
      </c>
      <c r="B48" s="11" t="inlineStr">
        <is>
          <t>About 1.05T parameters</t>
        </is>
      </c>
      <c r="C48" s="11" t="inlineStr">
        <is>
          <t>Vals lists it as open-weight (released 2026-10-06), but no mistralai weights repository existed on 2026-10-15; at that size no rung of 4 bits or more fits the budget (INFERRED)</t>
        </is>
      </c>
      <c r="D48" s="11" t="inlineStr">
        <is>
          <t>Weights published with a rung that fits alone</t>
        </is>
      </c>
      <c r="E48" s="11" t="inlineStr">
        <is>
          <t>Nothing named</t>
        </is>
      </c>
    </row>
    <row r="49">
      <c r="A49" s="11" t="inlineStr">
        <is>
          <t>Nemotron 4 (added 2026-10-16, B-61)</t>
        </is>
      </c>
      <c r="B49" s="11" t="inlineStr">
        <is>
          <t>NVIDIA's next Nemotron line</t>
        </is>
      </c>
      <c r="C49" s="11" t="inlineStr">
        <is>
          <t>In training; no release date</t>
        </is>
      </c>
      <c r="D49" s="11" t="inlineStr">
        <is>
          <t>A release with a rung that fits alone</t>
        </is>
      </c>
      <c r="E49" s="11" t="inlineStr">
        <is>
          <t>Nemotron 3 Super (phased, 5.1)</t>
        </is>
      </c>
    </row>
    <row r="50">
      <c r="A50" s="11" t="inlineStr">
        <is>
          <t>Nemotron 3 Puzzle 75B-A9B (added 2026-10-16, S-52, S-57)</t>
        </is>
      </c>
      <c r="B50" s="11" t="inlineStr">
        <is>
          <t>A 75B MoE with 9B active, OpenMDW-1.1</t>
        </is>
      </c>
      <c r="C50" s="11" t="inlineStr">
        <is>
          <t>Not allocated a seat in the 2026 review; on Vulkan only its Q8_0 decodes correctly, 4-bit MoE quants collapse (llama.cpp PR #25444; UNVERIFIED here)</t>
        </is>
      </c>
      <c r="D50" s="11" t="inlineStr">
        <is>
          <t>A seat the Day 1 engines leave open, and a node test at Q8_0</t>
        </is>
      </c>
      <c r="E50" s="11" t="inlineStr">
        <is>
          <t>Nothing named</t>
        </is>
      </c>
    </row>
    <row r="51">
      <c r="A51" s="11" t="inlineStr">
        <is>
          <t>300B-class engines at 3 bits: Qwen3.5-397B (UD-IQ3_XXS) and K2-Horizon-375B (IQ3_XXS, loadable since b11454) (added 2026-10-16, S-57)</t>
        </is>
      </c>
      <c r="B51" s="11" t="inlineStr">
        <is>
          <t>Large MoE engines whose only fitting rungs are 3-bit</t>
        </is>
      </c>
      <c r="C51" s="11" t="inlineStr">
        <is>
          <t>The least-quantised rule (Section 1; D-24 option (a), D-11 option (d))</t>
        </is>
      </c>
      <c r="D51" s="11" t="inlineStr">
        <is>
          <t>A rung of 4 bits or more that fits alone: a smaller release, or a larger budget (W-DGPU, 3.7)</t>
        </is>
      </c>
      <c r="E51" s="11" t="inlineStr">
        <is>
          <t>Nothing named</t>
        </is>
      </c>
    </row>
    <row r="52">
      <c r="A52" s="11" t="inlineStr">
        <is>
          <t>Harrier-27B (added 2026-10-16, S-52, S-57)</t>
        </is>
      </c>
      <c r="B52" s="11" t="inlineStr">
        <is>
          <t>A 27B embedder, 74.3 on MTEB multilingual (UNVERIFIED here)</t>
        </is>
      </c>
      <c r="C52" s="11" t="inlineStr">
        <is>
          <t>Not faithful at the pin: llama.cpp's gemma-embedding loader forces bidirectional attention on a model trained causal with last-token pooling (the 2026 review; UNVERIFIED here)</t>
        </is>
      </c>
      <c r="D52" s="11" t="inlineStr">
        <is>
          <t>A loader fix in a llama.cpp the node pins, then T-15's hit-rate test</t>
        </is>
      </c>
      <c r="E52" s="11" t="inlineStr">
        <is>
          <t>Qwen3-Embedding-4B (5.3)</t>
        </is>
      </c>
    </row>
    <row r="53">
      <c r="A53" s="11" t="inlineStr">
        <is>
          <t>EmbeddingGemma 2, if dropped (S-57; D-60)</t>
        </is>
      </c>
      <c r="B53" s="11" t="inlineStr">
        <is>
          <t>A 0.31 GB code and multimodal embedder (b11452 or later)</t>
        </is>
      </c>
      <c r="C53" s="11" t="inlineStr">
        <is>
          <t>Phased as an optional side index (5.3); it moves to this list if the Principal drops it under D-60</t>
        </is>
      </c>
      <c r="D53" s="11" t="inlineStr">
        <is>
          <t>A use for one shared text, image, video and audio index</t>
        </is>
      </c>
      <c r="E53" s="11" t="inlineStr">
        <is>
          <t>Nothing: the primary pair is unchanged either way</t>
        </is>
      </c>
    </row>
    <row r="54">
      <c r="A54" s="11" t="inlineStr">
        <is>
          <t>A speech endpoint in llama-server, llama.cpp PR #26603 (added 2026-10-16, S-57)</t>
        </is>
      </c>
      <c r="B54" s="11" t="inlineStr">
        <is>
          <t>Text-to-speech served by llama-server itself</t>
        </is>
      </c>
      <c r="C54" s="11" t="inlineStr">
        <is>
          <t>Open upstream; until it merges, Qwen3-TTS runs only through the llama-tts tool (14.1)</t>
        </is>
      </c>
      <c r="D54" s="11" t="inlineStr">
        <is>
          <t>The PR merges into a build the node pins</t>
        </is>
      </c>
      <c r="E54" s="11" t="inlineStr">
        <is>
          <t>llama-tts for the Qwen3-TTS test</t>
        </is>
      </c>
    </row>
    <row r="55">
      <c r="A55" s="2" t="inlineStr">
        <is>
          <t>Decision recorded 2026-09-21: FLUX.1-dev stays as the image engine, quality being the deciding factor. FLUX.1-dev carries the same non-commercial licence as Qwen-Image-2.1, so the licence does not separate them; validation on gfx1151 does.</t>
        </is>
      </c>
    </row>
    <row r="57">
      <c r="A57" s="3" t="inlineStr">
        <is>
          <t>Considered and not adopted (15.5, v0.4.0): the rule each fails</t>
        </is>
      </c>
    </row>
    <row r="58">
      <c r="A58" s="10" t="inlineStr">
        <is>
          <t>Rule it fails</t>
        </is>
      </c>
      <c r="B58" s="10" t="inlineStr">
        <is>
          <t>Engines and companions</t>
        </is>
      </c>
      <c r="C58" s="10" t="inlineStr">
        <is>
          <t>Register</t>
        </is>
      </c>
    </row>
    <row r="59">
      <c r="A59" s="11" t="inlineStr">
        <is>
          <t>Below the 70B floor for an LLM seat (Section 1)</t>
        </is>
      </c>
      <c r="B59" s="11" t="inlineStr">
        <is>
          <t>Qwen3.8-27B, Gemma 4 31B and MedGemma-27B; Nemotron 3.5 Lightning 30B-A3B, Muse Glimmer 28B, Qwen3.6-27B and Qwen3.6-35B-A3B</t>
        </is>
      </c>
      <c r="C59" s="11" t="inlineStr">
        <is>
          <t>D-15 (d), D-19 (d), D-20 (f)</t>
        </is>
      </c>
    </row>
    <row r="60">
      <c r="A60" s="11" t="inlineStr">
        <is>
          <t>Only 1- to 3-bit rungs fit (the least-quantised rule)</t>
        </is>
      </c>
      <c r="B60" s="11" t="inlineStr">
        <is>
          <t>Llama 4 Maverick, Mistral Large 3 (1-bit), Intern-S2-397B (2-bit), Hy3, and the two 3-bit engines on the watch-list above</t>
        </is>
      </c>
      <c r="C60" s="11" t="inlineStr">
        <is>
          <t>D-24 (a), D-11 (d)</t>
        </is>
      </c>
    </row>
    <row r="61">
      <c r="A61" s="11" t="inlineStr">
        <is>
          <t>Dense 120B-class models decode at about 2 tok/s or less (D-24)</t>
        </is>
      </c>
      <c r="B61" s="11" t="inlineStr">
        <is>
          <t>Mistral Medium 3.5 (128B), Devstral 2 (123B); Mistral Large 2 Uncensored, the named Ollama build (legacy Q4_0, a system prompt that instructs falsification, a research-only licence), with its weight-edited XORTRON alternative (about 1.7 tok/s)</t>
        </is>
      </c>
      <c r="C61" s="11" t="inlineStr">
        <is>
          <t>D-06 (a), D-24 (a)</t>
        </is>
      </c>
    </row>
    <row r="62">
      <c r="A62" s="11" t="inlineStr">
        <is>
          <t>Out-ranked at a fitting rung by the adopted engines (the 2026 allocation)</t>
        </is>
      </c>
      <c r="B62" s="11" t="inlineStr">
        <is>
          <t>Qwen3-235B-A22B (a 2025 generation; Intern-S1, its science post-train, carries the lineage), Step-3.7-Flash, Mistral Small 4 (its experts ran on the CPU on stock Vulkan builds), Qwen3-VL-235B (the vision runner-up), Apertus-70B-MeditronFO</t>
        </is>
      </c>
      <c r="C62" s="11" t="inlineStr">
        <is>
          <t>D-10 (a), D-15 (a), D-20 (a)</t>
        </is>
      </c>
    </row>
    <row r="63">
      <c r="A63" s="11" t="inlineStr">
        <is>
          <t>Leaving the roster</t>
        </is>
      </c>
      <c r="B63" s="11" t="inlineStr">
        <is>
          <t>Qwen3.5-122B-A10B, Qwen2.5-VL-72B, Meditron-70B (5.1)</t>
        </is>
      </c>
      <c r="C63" s="11" t="inlineStr">
        <is>
          <t>D-21 (a)</t>
        </is>
      </c>
    </row>
    <row r="64">
      <c r="A64" s="11" t="inlineStr">
        <is>
          <t>Out of envelope: no rung fits alone at a precision the rules accept</t>
        </is>
      </c>
      <c r="B64" s="11" t="inlineStr">
        <is>
          <t>Nemotron 3 Ultra 550B-A55B, Qwen3.8-2.4T-A95B (also under its own Qwen3.8-Max licence), MiMo-V2.6-Pro, GLM-5.3 (744B), Kimi K3</t>
        </is>
      </c>
      <c r="C64" s="11" t="inlineStr">
        <is>
          <t>S-52</t>
        </is>
      </c>
    </row>
    <row r="65">
      <c r="A65" s="11" t="inlineStr">
        <is>
          <t>Experimental, with no node test</t>
        </is>
      </c>
      <c r="B65" s="11" t="inlineStr">
        <is>
          <t>DeepSeek-V4-Flash-Vision-Exp (its projector type is in the pin)</t>
        </is>
      </c>
      <c r="C65" s="11" t="inlineStr">
        <is>
          <t>S-52</t>
        </is>
      </c>
    </row>
    <row r="66">
      <c r="A66" s="11" t="inlineStr">
        <is>
          <t>Vision at the pin but not allocated: ATLAS keeps one vision engine (C29)</t>
        </is>
      </c>
      <c r="B66" s="11" t="inlineStr">
        <is>
          <t>Stock MiMo-V2.6-Flash, MiniMax-M3, Qwen3.8-Flash-Next with its mmproj</t>
        </is>
      </c>
      <c r="C66" s="11" t="inlineStr">
        <is>
          <t>D-20 (a)</t>
        </is>
      </c>
    </row>
    <row r="67">
      <c r="A67" s="11" t="inlineStr">
        <is>
          <t>Non-commercial licence</t>
        </is>
      </c>
      <c r="B67" s="11" t="inlineStr">
        <is>
          <t>FLUX.2-dev (also a 24B text encoder); the voice and diarisation exclusions are in 14.1</t>
        </is>
      </c>
      <c r="C67" s="11" t="inlineStr">
        <is>
          <t>C-11</t>
        </is>
      </c>
    </row>
    <row r="68">
      <c r="A68" s="11" t="inlineStr">
        <is>
          <t>Router alternatives with no measured advantage (the 4B router is kept)</t>
        </is>
      </c>
      <c r="B68" s="11" t="inlineStr">
        <is>
          <t>Gemma 4 E4B, Granite 4.1 8B</t>
        </is>
      </c>
      <c r="C68" s="11" t="inlineStr">
        <is>
          <t>C-01</t>
        </is>
      </c>
    </row>
    <row r="69">
      <c r="A69" s="11" t="inlineStr">
        <is>
          <t>Zero-cloud (Section 1)</t>
        </is>
      </c>
      <c r="B69" s="11" t="inlineStr">
        <is>
          <t>Lucebox's appliance software: its updater, Manage, Connect, Tailscale, crash reporting and cloud fallback. Of Lucebox's software only its Apache 2.0 engine may ever be built, from a pinned commit inside the trial container, and only if the trial reaches its second stage</t>
        </is>
      </c>
      <c r="C69" s="11" t="inlineStr">
        <is>
          <t>D-55 (b), S-56</t>
        </is>
      </c>
    </row>
    <row r="70">
      <c r="A70" s="2" t="inlineStr">
        <is>
          <t>Recorded with the register rows that left each out (approved by the Principal on 2026-10-16). None is on the node, and none is re-checked unless a later release or a watch-list row changes the answer.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4"/>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 v0.4.0 adds standing rules 9 (routed engines use only lossless accelerations, S-50) and 10 (the arsenal admission rules, S-13).</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4">
      <c r="A14" s="11" t="inlineStr">
        <is>
          <t>9</t>
        </is>
      </c>
      <c r="B14" s="11" t="inlineStr">
        <is>
          <t>*v0.4.0 (S-50; D-56 options (a) and (b), approved by the Principal on 2026-10-16 in the returned action register):* routed engines use only lossless accelerations: the default expert count, speculative decoding with exact verification, and prefix caching. An approximate switch (a per-box router bias, a bounded sliding-window replay in the decoder, sparse prefill) is allowed only inside the V4.1 trial, each scored against the same file without it; vendor speed settings that change results, such as running fewer experts, never.</t>
        </is>
      </c>
    </row>
    <row r="15">
      <c r="A15" s="11" t="inlineStr">
        <is>
          <t>10</t>
        </is>
      </c>
      <c r="B15" s="11" t="inlineStr">
        <is>
          <t>*v0.4.0 (S-13):* every engine is admitted under Section 1's arsenal rules: no LLM seat under about 70B total parameters, each engine alone with the whole engine budget, quality before speed, and the least-quantised rung that fits, with its measured quality cost stated.</t>
        </is>
      </c>
    </row>
    <row r="17">
      <c r="A17" s="3" t="inlineStr">
        <is>
          <t>Approval tiers</t>
        </is>
      </c>
    </row>
    <row r="18">
      <c r="A18" s="10" t="inlineStr">
        <is>
          <t>Tier</t>
        </is>
      </c>
      <c r="B18" s="10" t="inlineStr">
        <is>
          <t>Examples</t>
        </is>
      </c>
      <c r="C18" s="10" t="inlineStr">
        <is>
          <t>Behaviour</t>
        </is>
      </c>
    </row>
    <row r="19">
      <c r="A19" s="11" t="inlineStr">
        <is>
          <t>Routine</t>
        </is>
      </c>
      <c r="B19" s="11" t="inlineStr">
        <is>
          <t>Meeting scheduling, confirmations, acknowledgements</t>
        </is>
      </c>
      <c r="C19" s="11" t="inlineStr">
        <is>
          <t>Pre-approved categories, sent automatically, logged for review</t>
        </is>
      </c>
    </row>
    <row r="20">
      <c r="A20" s="11" t="inlineStr">
        <is>
          <t>Standard</t>
        </is>
      </c>
      <c r="B20" s="11" t="inlineStr">
        <is>
          <t>Replies with substance, requests, negotiations, content updates, DNS changes; configuration proposals from Domain 20 (retention, window, maintenance; S53), submitted by a hemisphere lead in the Principal register</t>
        </is>
      </c>
      <c r="C20" s="11" t="inlineStr">
        <is>
          <t>Drafted, held until the Principal approves. For a configuration proposal the approval records the decision and the Principal applies the change as root (16.3 item 6); ATLAS applies nothing</t>
        </is>
      </c>
    </row>
    <row r="21">
      <c r="A21" s="11" t="inlineStr">
        <is>
          <t>Sensitive</t>
        </is>
      </c>
      <c r="B21" s="11" t="inlineStr">
        <is>
          <t>Legal, financial, medical, estate, security, any payment, anything under a sensitive-tier task force</t>
        </is>
      </c>
      <c r="C21" s="11" t="inlineStr">
        <is>
          <t>Drafted, held, flagged with the director's reasoning; strong cross-check applied automatically</t>
        </is>
      </c>
    </row>
    <row r="23">
      <c r="A23" s="3" t="inlineStr">
        <is>
          <t>Never without the Principal (proposed, D8)</t>
        </is>
      </c>
    </row>
    <row r="24">
      <c r="A24" s="10" t="inlineStr">
        <is>
          <t>#</t>
        </is>
      </c>
      <c r="B24" s="10" t="inlineStr">
        <is>
          <t>Action</t>
        </is>
      </c>
    </row>
    <row r="25">
      <c r="A25" s="11" t="inlineStr">
        <is>
          <t>1</t>
        </is>
      </c>
      <c r="B25" s="11" t="inlineStr">
        <is>
          <t>Move money, initiate a payment, or change a payment method.</t>
        </is>
      </c>
    </row>
    <row r="26">
      <c r="A26" s="11" t="inlineStr">
        <is>
          <t>2</t>
        </is>
      </c>
      <c r="B26" s="11" t="inlineStr">
        <is>
          <t>Sign, accept, or bind to a contract or terms.</t>
        </is>
      </c>
    </row>
    <row r="27">
      <c r="A27" s="11" t="inlineStr">
        <is>
          <t>3</t>
        </is>
      </c>
      <c r="B27" s="11" t="inlineStr">
        <is>
          <t>Send external correspondence above the routine tier.</t>
        </is>
      </c>
    </row>
    <row r="28">
      <c r="A28" s="11" t="inlineStr">
        <is>
          <t>4</t>
        </is>
      </c>
      <c r="B28" s="11" t="inlineStr">
        <is>
          <t>Change DNS, domain, or Cloudflare security settings.</t>
        </is>
      </c>
    </row>
    <row r="29">
      <c r="A29" s="11" t="inlineStr">
        <is>
          <t>5</t>
        </is>
      </c>
      <c r="B29" s="11" t="inlineStr">
        <is>
          <t>Delete, move, or modify vault contents or backups.</t>
        </is>
      </c>
    </row>
    <row r="30">
      <c r="A30" s="11" t="inlineStr">
        <is>
          <t>6</t>
        </is>
      </c>
      <c r="B30" s="11" t="inlineStr">
        <is>
          <t>Modify its own code, configuration, approval tiers, router rules, or the allowlist. Domain 20 proposes; the Principal approves.</t>
        </is>
      </c>
    </row>
    <row r="31">
      <c r="A31" s="11" t="inlineStr">
        <is>
          <t>7</t>
        </is>
      </c>
      <c r="B31" s="11" t="inlineStr">
        <is>
          <t>Enable continuous vision or audio capture.</t>
        </is>
      </c>
    </row>
    <row r="32">
      <c r="A32" s="11" t="inlineStr">
        <is>
          <t>8</t>
        </is>
      </c>
      <c r="B32" s="11" t="inlineStr">
        <is>
          <t>Install software or pull models from outside the allowlist.</t>
        </is>
      </c>
    </row>
    <row r="33">
      <c r="A33" s="11" t="inlineStr">
        <is>
          <t>9</t>
        </is>
      </c>
      <c r="B33" s="11" t="inlineStr">
        <is>
          <t>Share any Principal data with a third party not already connected under Section 13.</t>
        </is>
      </c>
    </row>
    <row r="34">
      <c r="A34" s="11" t="inlineStr">
        <is>
          <t>10</t>
        </is>
      </c>
      <c r="B34"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0"/>
  <sheetViews>
    <sheetView showGridLines="0" workbookViewId="0">
      <pane ySplit="3" topLeftCell="A4" activePane="bottomLeft" state="frozen"/>
      <selection pane="bottomLeft" activeCell="A1" sqref="A1"/>
    </sheetView>
  </sheetViews>
  <sheetFormatPr baseColWidth="8" defaultRowHeight="15"/>
  <cols>
    <col width="24" customWidth="1" min="1" max="1"/>
    <col width="95" customWidth="1" min="2" max="2"/>
    <col width="30" customWidth="1" min="3" max="3"/>
    <col width="70" customWidth="1" min="4" max="4"/>
  </cols>
  <sheetData>
    <row r="1">
      <c r="A1" s="1" t="inlineStr">
        <is>
          <t>Ref Day 1</t>
        </is>
      </c>
    </row>
    <row r="2">
      <c r="A2" s="2" t="inlineStr">
        <is>
          <t>Section 17. Four phases; each ends with a printed pass/fail gate. Phases 3 and 4 run detached and resumable. v0.4.0: Phase 3 pulls the four Day 1 LLM repositories (about 448 GB), adds step 2b (V25, the output parity of the re-pin) and step 2c (the quality record, to-do kld-run), and proves single residency in step 3 (V21).</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~10 hours at 100 Mbps over Wi-Fi for ~448 GB (v0.4.0; v0.3.5: ~15 hours for ~690 GB); plus the load, parity and quality tests, longer than v0.3.5's ~30 minutes now that each large seat takes about a minute to load and decodes at 7 to 14 tok/s (INFERRED; Phase 3 records the times)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 capped at 4 GiB by a tmp.mount drop-in from the next boot (*S55, 2026-10-17;* it was 16 GiB).</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or the largest Day 1 seat's projected footprint if that is larger (v0.4.0, D-36 option (c));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*v0.4.0 (S-01, S-02, S-37; D-01 option (c), approved by the Principal on 2026-10-16 in the returned action register):* built from the pinned build tag b11474 (3.4), with llama-perplexity among the installed binaries; beside it, v0.4.1's llama-perplexity alone, from a git worktree into /opt/atlas/llama-parity, for the Phase 3 parity test V25 only. Up to 20 engine slots (ports 8101 to 8120); the Day 1 set is seven units (S-33). The optional ROCm container for tuned prefill is phased after Day 1 (3.4, D-52 option (b)).</t>
        </is>
      </c>
    </row>
    <row r="23">
      <c r="A23" s="11" t="inlineStr">
        <is>
          <t>Phase 2</t>
        </is>
      </c>
      <c r="B23" s="11" t="inlineStr">
        <is>
          <t>2. Redis, Celery workers (cpu, gpu queues), orchestrator scaffold with the Engine Arbiter, router, approval queue, task ledger. *v0.4.0 (D-32 option (a)):* ATLAS_ARBITER_MAX_RESIDENT=1 is seeded once into orchestrator.env, so a value the Principal sets survives a re-run (4.2 rule 3). *S55 (2026-10-17):* the Celery cpu worker's concurrency is min(8, nproc − 2), at least 1 (CELERY_CPU_CONCURRENCY in orchestrator.env), and the units carry the out-of-memory order (OOMScoreAdjust 500 on the Celery cpu worker, -500 on the orchestrator and on llama-server@).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D16 since v0.4.0 (reopening D4): the Qwen3.5-4B router on the iGPU, and Qwen3-Embedding-4B and Qwen3-Reranker-4B on the CPU (--device none; D-14 option (e), D-45 option (a)). All are small and belong in this no-large-downloads phase, and the new embedder is in place before the first document, so the empty corpus is indexed with it from the start (10.1). The step keeps the 1024-dim schema by truncating and re-normalising each vector, seeds the query instruction once into memory.env, checks that the embedder returns at least 1,024 dimensions and different vectors for a query and a passage and that the reranker ranks, and stops on a collection another embedder wrote. Docling ingestion service, under an 8 GiB cap and first in the out-of-memory order with the Celery cpu worker (S55). The OCR companion is phased (5.3, C-04).</t>
        </is>
      </c>
    </row>
    <row r="26">
      <c r="A26" s="11" t="inlineStr">
        <is>
          <t>Phase 2</t>
        </is>
      </c>
      <c r="B26" s="11" t="inlineStr">
        <is>
          <t>5. Kokoro, Chatterbox (0.1.7), Whisper Large-v3-Turbo, pyannote speaker-diarization-community-1 (V6; v0.4.0, C-06: it replaces 3.1, which V6 probes only as a diagnostic when community-1 is refused). The other new speech candidates are phased (14.1). *S55:* Kokoro and speaches run under cgroup caps of 3 and 4 GiB.</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the larger of 160000 MiB and the largest Day 1 seat with its context memory, as the Arbiter projects it; v0.4.0, D-36 option (c)), V6, V7 (listening test, deferred if the reference recordings do not exist yet), V12, V13, V14 first half, V15, V16, V17, V18, V20, V23 recorded, plus V10's resident-router half. The Arbiter's refusal logic is unit-tested here against stub footprints; the real-engine tests are V14b and V21 in Phase 3 (v0.4.0: V21 proves single residency, S-24).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*v0.4.0 (S-34; D-42 option (b), approved by the Principal on 2026-10-16 in the returned action register):* the four LLM repositories of engines.json: gpt-oss-120b (F16 trunk, native MXFP4 experts), gpt-oss-120b abliterated (MXFP4, unchanged), GLM-5.3-Flash (UD-IQ4_XS, with the mmproj-F16.gguf from the repository root) and DeepSeek-V4-Flash-0731 (UD-Q8_K_XL). About 448 GB, where v0.3.5 pulled about 690 GB. No file is joined any more, so the free-space check is the download plus 5%. The phased engines come in a post-Day-1 pull with the same checksum and load tests (5.1).</t>
        </is>
      </c>
    </row>
    <row r="37">
      <c r="A37" s="11" t="inlineStr">
        <is>
          <t>Phase 3</t>
        </is>
      </c>
      <c r="B37" s="11" t="inlineStr">
        <is>
          <t>2. For each LLM seat, in turn: load through the Engine Arbiter; confirm the KV cache type actually applied (V4: GLM-5.3-Flash prints two lines, its attention and indexer caches, and both must show the type); measure decode and prefill at 512 and 8k tokens; measure swap time; unload; confirm memory returned. *v0.4.0 (S-25, S-26, S-42; D-29 option (a), D-33 option (c)):* decode is recorded beside the seat's projection (V10) and fails only below a floor the Principal sets; none is set, so the step records and raises the to-do decode-floors (D-47). DeepSeek-V4-Flash-0731 loads f16 first at its own 1 × 131,072 profile and keeps it if it loads, proves its KV lines and answers the coherence prompt; q8_0 is tried only if f16 fails, and q4_0 never. The Apex and every engine newer than v0.4.1 (GLM-5.3-Flash) have their own V22 row, and a failure there is deferred without blocking the phase (R19). GLM-5.3-Flash is measured at its 8 × 32k profile with its projector loaded.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v0.4.0: the records read the same lines at b11474, and the projection now includes the per-slot state and the compute buffer (4.2 rule 2).*</t>
        </is>
      </c>
    </row>
    <row r="38">
      <c r="A38" s="11" t="inlineStr">
        <is>
          <t>Phase 3</t>
        </is>
      </c>
      <c r="B38" s="11" t="inlineStr">
        <is>
          <t>2b. *New in v0.4.0 (S-02, V25):* output parity between the pin b11474 and the old pin v0.4.1, on the chat engines both builds load (gpt-oss-120b, DeepSeek-V4-Flash-0731 and the router). With every LLM seat unloaded through the Arbiter and generation idle, the old build's llama-perplexity writes base logits for a fixed corpus (16 × 512 tokens from the domain profiles), the new build scores them with --kl-divergence, and both run the 24-task deterministic set phase3/parity-tasks.txt. Flash attention on gives the verdict; off is recorded. The thresholds, confirmed by the Principal on 2026-10-17 (S55): a mean KLD of at most 0.01, the same top token at least 98% of the time, and no fewer tasks correct. GLM-5.3-Flash (the old pin cannot load it) and the embedder and reranker (no next-token logits) are listed as not covered, and a file the old build cannot load records deferred. Memory is polled back after every run; the results go to parity.json.</t>
        </is>
      </c>
    </row>
    <row r="39">
      <c r="A39" s="11" t="inlineStr">
        <is>
          <t>Phase 3</t>
        </is>
      </c>
      <c r="B39" s="11" t="inlineStr">
        <is>
          <t>2c. *New in v0.4.0 (S-03):* a quality record per LLM seat on the pin, the unchanged abliterated entry excepted: the corpus perplexity and the task score at the seat's own KV type, written to quality.json and raised as the to-do kld-run with each seat's reference status. It is never a verdict. The reference-based KLD run (T-03) needs reference files that Day 1 does not pull: DeepSeek-V4-Flash-0731's UD-Q8_K_XL is bit-exact by construction, and GLM-5.3-Flash's Q8_0 reference (317 GiB) exceeds memory, so its check is a task delta against published full-precision scores.</t>
        </is>
      </c>
    </row>
    <row r="40">
      <c r="A40" s="11" t="inlineStr">
        <is>
          <t>Phase 3</t>
        </is>
      </c>
      <c r="B40" s="11" t="inlineStr">
        <is>
          <t>3. *v0.4.0 (S-24; D-32 option (a)):* single-residency test, replacing v0.3.5's two-residency test (gpt-oss-120b beside Qwen2.5-VL-72B at about 142 GB, which went with D-32 (a) and S-22). gpt-oss-120b is loaded through the Arbiter, then GLM-5.3-Flash, and the Arbiter must evict the first: its unit stopped, the ledger holding GLM alone, and the GTT delta GLM's alone, capped at the live budget. Two generation requests through the orchestrator must queue, the second starting only after the first finishes (V21). Slot save and restore across the swap is phased (4.4, T-13) and recorded as not tested. Then, with nothing resident, the Arbiter's refusal of an over-budget load and its Deep Think downgrade against the real engine set (V14b). A rule-5 leak in the cleanup fails V21 and stops the phase. The results go to residency.json.</t>
        </is>
      </c>
    </row>
    <row r="41">
      <c r="A41" s="11" t="inlineStr">
        <is>
          <t>Phase 3</t>
        </is>
      </c>
      <c r="B41" s="11" t="inlineStr">
        <is>
          <t>4. Gate: printed table of load success, KV type, tok/s, swap seconds per engine. This is the day-one load test the whole design depends on (V10). *v0.4.0 (S-26; D-33 option (c)):* the residency, parity and quality summaries print with it, and the gate is gate phase3 V4 V10 V14b V21 V25 -- V22: V25 is required, and V22, with its own row for the Apex and for GLM-5.3-Flash, whose llama.cpp support is newer than the rest, is recorded and never blocks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against the cap its env file renders since S55, and suggested --cache-ram and --ctx-checkpoints values, INFERRED: whether to change a cap, which goes in engines.json cache_ram_mib, or set --ctx-checkpoints). Both are always raised, with UNKNOWN where a figure is missing, and neither affects the gate.*</t>
        </is>
      </c>
    </row>
    <row r="42">
      <c r="A42" s="11" t="inlineStr">
        <is>
          <t>Phase 4</t>
        </is>
      </c>
      <c r="B42"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3">
      <c r="A43" s="11" t="inlineStr">
        <is>
          <t>Phase 4</t>
        </is>
      </c>
      <c r="B43" s="11" t="inlineStr">
        <is>
          <t>2. Build green engines in order of value: FLUX.1-dev, Wan2.2, Florence-2, Chronos, UI-TARS-1.5-7B, Rad-DINO, SAM 2 with the extension flag, Stable Audio Open, CosyVoice2, OpenVLA (corrected in v0.4.0, B-11: TimesFM and UI-TARS 2.0 were dropped in v0.3.1, 15.2). The vision engine is not here: it is GLM-5.3-Flash with its glm5v projector, a GGUF engine pulled in Phase 3. *v0.4.0 (S-37, S-46; D-50 option (a)):* the step first unloads every resident LLM seat through the Arbiter, so each engine is tested alone (4.2); the image tier's Z-Image-Turbo and Qwen-Image-2512 join this list after Day 1, and the OCR companion is a llama-server unit, not a Phase 4 engine (15.2, 5.3).</t>
        </is>
      </c>
    </row>
    <row r="44">
      <c r="A44" s="11" t="inlineStr">
        <is>
          <t>Phase 4</t>
        </is>
      </c>
      <c r="B44" s="11" t="inlineStr">
        <is>
          <t>3. Attempt yellow engines: TRELLIS, Blender Cycles HIP with CPU fallback. Log pass or fail, never block.</t>
        </is>
      </c>
    </row>
    <row r="45">
      <c r="A45" s="11" t="inlineStr">
        <is>
          <t>Phase 4</t>
        </is>
      </c>
      <c r="B45" s="11" t="inlineStr">
        <is>
          <t>4. Verify PointLLM (V8) and Clay or Prithvi (V9); mark deferred if they fail.</t>
        </is>
      </c>
    </row>
    <row r="46">
      <c r="A46" s="11" t="inlineStr">
        <is>
          <t>Phase 4</t>
        </is>
      </c>
      <c r="B46" s="11" t="inlineStr">
        <is>
          <t>5. Register every passing engine with the Engine Arbiter with its measured footprint.</t>
        </is>
      </c>
    </row>
    <row r="47">
      <c r="A47" s="11" t="inlineStr">
        <is>
          <t>Phase 4</t>
        </is>
      </c>
      <c r="B47" s="11" t="inlineStr">
        <is>
          <t>6. Gate: per-engine table: built, loaded, sample output produced, footprint, pass/fail/deferred.</t>
        </is>
      </c>
    </row>
    <row r="49">
      <c r="A49" s="3" t="inlineStr">
        <is>
          <t>Phase 3 test plan: every test in the action register (v0.4.0)</t>
        </is>
      </c>
    </row>
    <row r="50">
      <c r="A50" s="10" t="inlineStr">
        <is>
          <t>Test</t>
        </is>
      </c>
      <c r="B50" s="10" t="inlineStr">
        <is>
          <t>Settles</t>
        </is>
      </c>
      <c r="C50" s="10" t="inlineStr">
        <is>
          <t>Day 1</t>
        </is>
      </c>
      <c r="D50" s="10" t="inlineStr">
        <is>
          <t>How and when</t>
        </is>
      </c>
    </row>
    <row r="51">
      <c r="A51" s="11" t="inlineStr">
        <is>
          <t>T-01: the GTT pool and Vulkan device memory on kernel 7.0</t>
        </is>
      </c>
      <c r="B51" s="11" t="inlineStr">
        <is>
          <t>D-36; every rung above about 149 GiB</t>
        </is>
      </c>
      <c r="C51" s="11" t="inlineStr">
        <is>
          <t>Day 1 scripted</t>
        </is>
      </c>
      <c r="D51" s="11" t="inlineStr">
        <is>
          <t>V3a (Phase 1 step 5) and V3b (Phase 2 gate), with V3b's floor raised to the largest Day 1 seat with its context memory (D-36 (c)); the measured heap decides every rung above about 149 GiB (B-31)</t>
        </is>
      </c>
    </row>
    <row r="52">
      <c r="A52" s="11" t="inlineStr">
        <is>
          <t>T-02: output parity between the two pins</t>
        </is>
      </c>
      <c r="B52" s="11" t="inlineStr">
        <is>
          <t>D-01; the -fa setting; GLM's --kv-unified coherence (D-48)</t>
        </is>
      </c>
      <c r="C52" s="11" t="inlineStr">
        <is>
          <t>Day 1 scripted, in part; the rest after Day 1</t>
        </is>
      </c>
      <c r="D52" s="11" t="inlineStr">
        <is>
          <t>Phase 3 step 2b (V25) on gpt-oss-120b, DeepSeek-V4-Flash-0731 and the router. GLM-5.3-Flash cannot load on the old pin; the phased engines are compared at their own pull</t>
        </is>
      </c>
    </row>
    <row r="53">
      <c r="A53" s="11" t="inlineStr">
        <is>
          <t>T-03: the KLD run against a reference</t>
        </is>
      </c>
      <c r="B53" s="11" t="inlineStr">
        <is>
          <t>D-02, D-11, D-16, D-28, D-29</t>
        </is>
      </c>
      <c r="C53" s="11" t="inlineStr">
        <is>
          <t>Day 1 scripted (the record); after Day 1 (the reference run)</t>
        </is>
      </c>
      <c r="D53" s="11" t="inlineStr">
        <is>
          <t>Phase 3 step 2c records each seat's perplexity and task score and raises kld-run; the reference files are not pulled on Day 1 (step 2c)</t>
        </is>
      </c>
    </row>
    <row r="54">
      <c r="A54" s="11" t="inlineStr">
        <is>
          <t>T-04: GLM-5.3-Flash on Vulkan at the pin</t>
        </is>
      </c>
      <c r="B54" s="11" t="inlineStr">
        <is>
          <t>D-02's conditions; D-48; GLM's cache type (D-29)</t>
        </is>
      </c>
      <c r="C54" s="11" t="inlineStr">
        <is>
          <t>Day 1 scripted, in part; the rest after Day 1</t>
        </is>
      </c>
      <c r="D54" s="11" t="inlineStr">
        <is>
          <t>Phase 3 step 2 loads it with flash attention on and an f16 cache, proves both KV lines (V4), measures decode and prefill at 512 and 8k, and records its V22 row. Whether its hyper-connection operation runs on the GPU, multi-slot coherence under --kv-unified and decode at 32k and 128k follow after Day 1, with D-48</t>
        </is>
      </c>
    </row>
    <row r="55">
      <c r="A55" s="11" t="inlineStr">
        <is>
          <t>T-05: every Day 1 engine against the Arbiter's projections</t>
        </is>
      </c>
      <c r="B55" s="11" t="inlineStr">
        <is>
          <t>D-10, D-29, D-31, D-33, D-48</t>
        </is>
      </c>
      <c r="C55" s="11" t="inlineStr">
        <is>
          <t>Day 1 scripted</t>
        </is>
      </c>
      <c r="D55" s="11" t="inlineStr">
        <is>
          <t>Phase 3 steps 2 and 4: V4, V10 beside the projections, and the kv-estimates and cache-ram records</t>
        </is>
      </c>
    </row>
    <row r="56">
      <c r="A56" s="11" t="inlineStr">
        <is>
          <t>T-06: DeepSeek-V4-Flash-0731 on mainline Vulkan</t>
        </is>
      </c>
      <c r="B56" s="11" t="inlineStr">
        <is>
          <t>D-11, D-29, D-33, D-47, D-61</t>
        </is>
      </c>
      <c r="C56" s="11" t="inlineStr">
        <is>
          <t>Day 1 scripted, in part; the rest after Day 1</t>
        </is>
      </c>
      <c r="D56" s="11" t="inlineStr">
        <is>
          <t>Phase 3 step 2: UD-Q8_K_XL on the f16-first ladder, its V22 row and V10 beside the 7 tok/s projection. UD-Q4_K_XL is pulled only if the relief order of 4.1 reaches it; decode at 16k to 32k and DSpark (15.5) come after Day 1</t>
        </is>
      </c>
    </row>
    <row r="57">
      <c r="A57" s="11" t="inlineStr">
        <is>
          <t>T-07: Qwen3.8-Flash-Next decode</t>
        </is>
      </c>
      <c r="B57" s="11" t="inlineStr">
        <is>
          <t>Its role as challenger and third opinion; D-28</t>
        </is>
      </c>
      <c r="C57" s="11" t="inlineStr">
        <is>
          <t>After Day 1</t>
        </is>
      </c>
      <c r="D57" s="11" t="inlineStr">
        <is>
          <t>At its post-Day-1 pull (5.1)</t>
        </is>
      </c>
    </row>
    <row r="58">
      <c r="A58" s="11" t="inlineStr">
        <is>
          <t>T-08: the ggml-org Qwen3.8-Flash-Next Q8_0 KLD</t>
        </is>
      </c>
      <c r="B58" s="11" t="inlineStr">
        <is>
          <t>D-28</t>
        </is>
      </c>
      <c r="C58" s="11" t="inlineStr">
        <is>
          <t>After Day 1</t>
        </is>
      </c>
      <c r="D58" s="11" t="inlineStr">
        <is>
          <t>Folded into T-03, before any Flash-Next pull</t>
        </is>
      </c>
    </row>
    <row r="59">
      <c r="A59" s="11" t="inlineStr">
        <is>
          <t>T-09 and T-10</t>
        </is>
      </c>
      <c r="B59" s="11" t="inlineStr">
        <is>
          <t>D-07, D-08, D-09, D-58</t>
        </is>
      </c>
      <c r="C59" s="11" t="inlineStr">
        <is>
          <t>After Day 1</t>
        </is>
      </c>
      <c r="D59" s="11" t="inlineStr">
        <is>
          <t>With the items they settle (Section 19)</t>
        </is>
      </c>
    </row>
    <row r="60">
      <c r="A60" s="11" t="inlineStr">
        <is>
          <t>T-11: Baichuan-M3-235B load and a HealthBench subset</t>
        </is>
      </c>
      <c r="B60" s="11" t="inlineStr">
        <is>
          <t>D-15, D-16</t>
        </is>
      </c>
      <c r="C60" s="11" t="inlineStr">
        <is>
          <t>After Day 1</t>
        </is>
      </c>
      <c r="D60" s="11" t="inlineStr">
        <is>
          <t>At its post-Day-1 pull</t>
        </is>
      </c>
    </row>
    <row r="61">
      <c r="A61" s="11" t="inlineStr">
        <is>
          <t>T-12: Nemotron 3 Super with a prompt of 20K tokens or more</t>
        </is>
      </c>
      <c r="B61" s="11" t="inlineStr">
        <is>
          <t>D-13; llama.cpp #20732</t>
        </is>
      </c>
      <c r="C61" s="11" t="inlineStr">
        <is>
          <t>After Day 1</t>
        </is>
      </c>
      <c r="D61" s="11" t="inlineStr">
        <is>
          <t>At its post-Day-1 pull; Phase 3's alive check after the 8k prefill stays on every engine</t>
        </is>
      </c>
    </row>
    <row r="62">
      <c r="A62" s="11" t="inlineStr">
        <is>
          <t>T-13: slot save and restore per architecture</t>
        </is>
      </c>
      <c r="B62" s="11" t="inlineStr">
        <is>
          <t>D-44</t>
        </is>
      </c>
      <c r="C62" s="11" t="inlineStr">
        <is>
          <t>After Day 1</t>
        </is>
      </c>
      <c r="D62" s="11" t="inlineStr">
        <is>
          <t>Phased with slot save and restore (4.4); V21 records it as not tested</t>
        </is>
      </c>
    </row>
    <row r="63">
      <c r="A63" s="11" t="inlineStr">
        <is>
          <t>T-14: swap cost and re-prefill at 32k and 64k</t>
        </is>
      </c>
      <c r="B63" s="11" t="inlineStr">
        <is>
          <t>D-23, D-43; the 5.4 figures</t>
        </is>
      </c>
      <c r="C63" s="11" t="inlineStr">
        <is>
          <t>Day 1 scripted, in part; the rest after Day 1</t>
        </is>
      </c>
      <c r="D63" s="11" t="inlineStr">
        <is>
          <t>Phase 3 step 2 records each swap and prefill at 512 and 8k; the 32k and 64k re-prefill is a to-do (5.4)</t>
        </is>
      </c>
    </row>
    <row r="64">
      <c r="A64" s="11" t="inlineStr">
        <is>
          <t>T-15: the Qwen3 retrieval pair</t>
        </is>
      </c>
      <c r="B64" s="11" t="inlineStr">
        <is>
          <t>D-14, D-45, C-02, C-03</t>
        </is>
      </c>
      <c r="C64" s="11" t="inlineStr">
        <is>
          <t>Day 1 scripted, in part; the rest after Day 1</t>
        </is>
      </c>
      <c r="D64" s="11" t="inlineStr">
        <is>
          <t>Phase 2 step 4 checks the embedder's dimension and its query and passage forms and the reranker's ranking at the pin, and the Arbiter charges the pair's measured host RAM. Hit rate on the Principal's corpus, throughput on the CPU and the scar threshold are to-dos once a corpus exists (5.3, 9.4)</t>
        </is>
      </c>
    </row>
    <row r="65">
      <c r="A65" s="11" t="inlineStr">
        <is>
          <t>T-16: the S53 unknowns</t>
        </is>
      </c>
      <c r="B65" s="11" t="inlineStr">
        <is>
          <t>R28 on the node</t>
        </is>
      </c>
      <c r="C65" s="11" t="inlineStr">
        <is>
          <t>After Day 1</t>
        </is>
      </c>
      <c r="D65" s="11" t="inlineStr">
        <is>
          <t>At the first live sweep: ntfy's acceptance of the failure push and the real Celery worker path</t>
        </is>
      </c>
    </row>
    <row r="66">
      <c r="A66" s="11" t="inlineStr">
        <is>
          <t>T-17: vision on the Principal's documents</t>
        </is>
      </c>
      <c r="B66" s="11" t="inlineStr">
        <is>
          <t>D-20, D-21</t>
        </is>
      </c>
      <c r="C66" s="11" t="inlineStr">
        <is>
          <t>After Day 1</t>
        </is>
      </c>
      <c r="D66" s="11" t="inlineStr">
        <is>
          <t>GLM-5.3-Flash and its projector load in Phase 3; the comparison with Qwen3-VL-235B needs a file Day 1 does not pull</t>
        </is>
      </c>
    </row>
    <row r="67">
      <c r="A67" s="11" t="inlineStr">
        <is>
          <t>T-18: the corporate-seat bake-off</t>
        </is>
      </c>
      <c r="B67" s="11" t="inlineStr">
        <is>
          <t>D-10, D-12, D-28</t>
        </is>
      </c>
      <c r="C67" s="11" t="inlineStr">
        <is>
          <t>After Day 1</t>
        </is>
      </c>
      <c r="D67" s="11" t="inlineStr">
        <is>
          <t>With the Qwen3.8-Flash-Next pull</t>
        </is>
      </c>
    </row>
    <row r="68">
      <c r="A68" s="11" t="inlineStr">
        <is>
          <t>T-19: OCR on the Principal's documents</t>
        </is>
      </c>
      <c r="B68" s="11" t="inlineStr">
        <is>
          <t>C-04, D-14</t>
        </is>
      </c>
      <c r="C68" s="11" t="inlineStr">
        <is>
          <t>After Day 1</t>
        </is>
      </c>
      <c r="D68" s="11" t="inlineStr">
        <is>
          <t>With the phased OCR companion; it re-checks the budget (4.1)</t>
        </is>
      </c>
    </row>
    <row r="69">
      <c r="A69" s="11" t="inlineStr">
        <is>
          <t>T-20: word error rate on the Principal's audio</t>
        </is>
      </c>
      <c r="B69" s="11" t="inlineStr">
        <is>
          <t>C-05</t>
        </is>
      </c>
      <c r="C69" s="11" t="inlineStr">
        <is>
          <t>After Day 1</t>
        </is>
      </c>
      <c r="D69" s="11" t="inlineStr">
        <is>
          <t>14.1</t>
        </is>
      </c>
    </row>
    <row r="70">
      <c r="A70" s="11" t="inlineStr">
        <is>
          <t>T-21: diarisation</t>
        </is>
      </c>
      <c r="B70" s="11" t="inlineStr">
        <is>
          <t>C-06, D-05</t>
        </is>
      </c>
      <c r="C70" s="11" t="inlineStr">
        <is>
          <t>Day 1 scripted, in part; the rest after Day 1</t>
        </is>
      </c>
      <c r="D70" s="11" t="inlineStr">
        <is>
          <t>V6 loads community-1 and diarises a synthetic clip online and offline (Phase 2 step 5); Nemotron 3 Diarization against community-1 on the Principal's recordings after Day 1 (14.1)</t>
        </is>
      </c>
    </row>
    <row r="71">
      <c r="A71" s="11" t="inlineStr">
        <is>
          <t>T-22: Qwen3-TTS through llama-tts</t>
        </is>
      </c>
      <c r="B71" s="11" t="inlineStr">
        <is>
          <t>C-10</t>
        </is>
      </c>
      <c r="C71" s="11" t="inlineStr">
        <is>
          <t>After Day 1</t>
        </is>
      </c>
      <c r="D71" s="11" t="inlineStr">
        <is>
          <t>14.1</t>
        </is>
      </c>
    </row>
    <row r="72">
      <c r="A72" s="11" t="inlineStr">
        <is>
          <t>T-23: Chatterbox Turbo and Multilingual V3, and the CTranslate2 ROCm wheel, on the ROCm 10.0 image</t>
        </is>
      </c>
      <c r="B72" s="11" t="inlineStr">
        <is>
          <t>C-09; the GPU option of C-05</t>
        </is>
      </c>
      <c r="C72" s="11" t="inlineStr">
        <is>
          <t>After Day 1</t>
        </is>
      </c>
      <c r="D72" s="11" t="inlineStr">
        <is>
          <t>After the Phase 4 gate</t>
        </is>
      </c>
    </row>
    <row r="73">
      <c r="A73" s="11" t="inlineStr">
        <is>
          <t>T-24: the voice comparison</t>
        </is>
      </c>
      <c r="B73" s="11" t="inlineStr">
        <is>
          <t>C-08 to C-10</t>
        </is>
      </c>
      <c r="C73" s="11" t="inlineStr">
        <is>
          <t>Day 1 manual, in part; the rest after Day 1</t>
        </is>
      </c>
      <c r="D73" s="11" t="inlineStr">
        <is>
          <t>V7's listening test at the Phase 2 gate, with the Principal; the phased voices join it later</t>
        </is>
      </c>
    </row>
    <row r="74">
      <c r="A74" s="11" t="inlineStr">
        <is>
          <t>T-25: FLUX.1-dev and Z-Image-Turbo on gfx1151</t>
        </is>
      </c>
      <c r="B74" s="11" t="inlineStr">
        <is>
          <t>C-11</t>
        </is>
      </c>
      <c r="C74" s="11" t="inlineStr">
        <is>
          <t>Day 1 scripted, in part; the rest after Day 1</t>
        </is>
      </c>
      <c r="D74" s="11" t="inlineStr">
        <is>
          <t>FLUX.1-dev is built and produces a sample in Phase 4; Z-Image-Turbo and the stable-diffusion.cpp fallback are phased (15.2)</t>
        </is>
      </c>
    </row>
    <row r="75">
      <c r="A75" s="11" t="inlineStr">
        <is>
          <t>T-26: MMLU-Pro with a fixed harness</t>
        </is>
      </c>
      <c r="B75" s="11" t="inlineStr">
        <is>
          <t>D-10</t>
        </is>
      </c>
      <c r="C75" s="11" t="inlineStr">
        <is>
          <t>After Day 1</t>
        </is>
      </c>
      <c r="D75" s="11" t="inlineStr">
        <is>
          <t>On the Day 1 seats, then each phased engine</t>
        </is>
      </c>
    </row>
    <row r="76">
      <c r="A76" s="11" t="inlineStr">
        <is>
          <t>T-27: the Principal's own test sets</t>
        </is>
      </c>
      <c r="B76" s="11" t="inlineStr">
        <is>
          <t>D-49; D-10</t>
        </is>
      </c>
      <c r="C76" s="11" t="inlineStr">
        <is>
          <t>After Day 1</t>
        </is>
      </c>
      <c r="D76" s="11" t="inlineStr">
        <is>
          <t>A to-do for the Principal (Section 22); until then GLM-5.3-Flash carries those seats unproven</t>
        </is>
      </c>
    </row>
    <row r="77">
      <c r="A77" s="11" t="inlineStr">
        <is>
          <t>T-28: sustained thermal and power-mode behaviour</t>
        </is>
      </c>
      <c r="B77" s="11" t="inlineStr">
        <is>
          <t>D-43</t>
        </is>
      </c>
      <c r="C77" s="11" t="inlineStr">
        <is>
          <t>Day 1 manual, in part; the rest after Day 1</t>
        </is>
      </c>
      <c r="D77" s="11" t="inlineStr">
        <is>
          <t>Temperatures watched in Cockpit during Phase 3's long tests (R10); hours-long generation after Day 1</t>
        </is>
      </c>
    </row>
    <row r="78">
      <c r="A78" s="11" t="inlineStr">
        <is>
          <t>T-29 to T-32: the V4.1 trial (container, quality, speed, second stage)</t>
        </is>
      </c>
      <c r="B78" s="11" t="inlineStr">
        <is>
          <t>D-46, D-47, D-51, D-52, D-55 to D-57, D-61</t>
        </is>
      </c>
      <c r="C78" s="11" t="inlineStr">
        <is>
          <t>After Day 1</t>
        </is>
      </c>
      <c r="D78" s="11" t="inlineStr">
        <is>
          <t>15.5</t>
        </is>
      </c>
    </row>
    <row r="79">
      <c r="A79" s="11" t="inlineStr">
        <is>
          <t>T-33: an R9700 in a USB4 dock</t>
        </is>
      </c>
      <c r="B79" s="11" t="inlineStr">
        <is>
          <t>D-62 (b)</t>
        </is>
      </c>
      <c r="C79" s="11" t="inlineStr">
        <is>
          <t>Not scheduled</t>
        </is>
      </c>
      <c r="D79" s="11" t="inlineStr">
        <is>
          <t>Only if D-62 becomes (b) (W-DGPU, 3.7)</t>
        </is>
      </c>
    </row>
    <row r="80">
      <c r="A80" s="2" t="inlineStr">
        <is>
          <t>Day 1 scripted: a Day 1 step runs and records it. Day 1 manual: done by hand during Day 1, with the Principal. After Day 1: with its to-do; most wait on a phased engine or on the Principal's own 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9"/>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 (v0.4.0: one LLM seat at a time, about 156 GiB for it).</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 and, since v0.4.0, the Qwen3 4B embedder and reranker (D-14 (e), 4.1)</t>
        </is>
      </c>
    </row>
    <row r="7">
      <c r="A7" s="11" t="inlineStr">
        <is>
          <t>GPU</t>
        </is>
      </c>
      <c r="B7" s="11" t="inlineStr">
        <is>
          <t>Radeon 8065S, 40 CUs, RDNA 3.5, ROCm target gfx1151, confirmed by the Principal</t>
        </is>
      </c>
      <c r="C7" s="11" t="inlineStr">
        <is>
          <t>Runs all inference except the CPU retrieval pair (v0.4.0, 4.1).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156 GiB is free for engines once the GPU resident set (the router), the CPU retrieval pair and the 16 GiB host reserve are subtracted (4.1; v0.3.5 said about 164 GiB, with the bge pair on the iGPU; v0.3.4 said ~180 GB and ~170 GB)</t>
        </is>
      </c>
      <c r="C10" s="11" t="inlineStr">
        <is>
          <t>VERIFY V3. The reason to buy this machine, and what makes the two 147 to 151 GiB Day 1 seats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 W-DGPU, W-PLACEMENT, W-MEMGUARD, W-MANIFEST and W-SESSIONLOG added 2026-10-16)</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the retrieval pair (bge-m3 and bge-reranker-v2-m3 at the 2026-10-09 review; Qwen3-Embedding-4B and Qwen3-Reranker-4B, on the CPU, since v0.4.0);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11" t="inlineStr">
        <is>
          <t>W-DGPU: a discrete GPU (added 2026-10-16; D-62 option (a), and D-63 option (a) for a second machine)</t>
        </is>
      </c>
      <c r="B23" s="11" t="inlineStr">
        <is>
          <t>A Radeon AI PRO R9700 (32 GB) in a USB4 v2 dock with a supply of 750 W or more, as a second device with its own memory pool. Its kernel parameters (thunderbolt.host_reset=false, amdgpu.runpm=0) and its power and noise limits would then join Sections 2, 3.3, 4.1 and 4.2 (S-55). A second machine, the Lucebox Zero 495 appliance, is not adopted either: it duplicates this node's processor, and its software checks for updates daily</t>
        </is>
      </c>
      <c r="C23" s="11" t="inlineStr">
        <is>
          <t>Lucebox's own engine measured large gains with the card for DeepSeek V4.1 and Qwen3.8-Flash-Next but almost none for the 0731 checkpoint ATLAS runs, and those are not the node's mainline Vulkan figures (UNVERIFIED here). The card costs about USD 1,800 before an unpriced dock and supply, never idles down with amdgpu.runpm=0, and brings a 300 W blower near 3,000 RPM</t>
        </is>
      </c>
      <c r="D23" s="11" t="inlineStr">
        <is>
          <t>The DeepSeek V4.1 trial (T-30, phased after Day 1) shows V4.1 or Qwen3.8-Flash-Next worth accelerating, preferably once a 32 GB card in a USB4 dock has been published working; the Principal then supplies a budget ceiling, the tolerance for the blower's noise and a second power brick, and whether external hardware is acceptable</t>
        </is>
      </c>
    </row>
    <row r="24">
      <c r="A24" s="11" t="inlineStr">
        <is>
          <t>W-PLACEMENT: usage-ranked expert placement (added 2026-10-16; D-64 (a), B-62)</t>
        </is>
      </c>
      <c r="B24" s="11" t="inlineStr">
        <is>
          <t>The most-called experts of a MoE engine sit in the fastest memory, ranked by a routing profile measured on the node. llama.cpp's -ot tensor overrides are its manual form</t>
        </is>
      </c>
      <c r="C24" s="11" t="inlineStr">
        <is>
          <t>The node has one memory pool, so there is nothing to rank between</t>
        </is>
      </c>
      <c r="D24" s="11" t="inlineStr">
        <is>
          <t>W-DGPU is adopted: this is then the design to follow for the card's 32 GB</t>
        </is>
      </c>
    </row>
    <row r="25">
      <c r="A25" s="11" t="inlineStr">
        <is>
          <t>W-MEMGUARD: Lucebox Manage's memory guard (added 2026-10-16; D-64 (a), B-63)</t>
        </is>
      </c>
      <c r="B25" s="11" t="inlineStr">
        <is>
          <t>A guard that stops a program filling memory before the machine can freeze</t>
        </is>
      </c>
      <c r="C25" s="11" t="inlineStr">
        <is>
          <t>Partly covered already: the Arbiter's hard pre-flight against a budget that keeps a fixed 16 GiB host reserve (4.1, 4.3) is the same idea, and a second guard would duplicate it</t>
        </is>
      </c>
      <c r="D25" s="11" t="inlineStr">
        <is>
          <t>The next baseline revision compares it with the Arbiter, rather than adding a second guard now</t>
        </is>
      </c>
    </row>
    <row r="26">
      <c r="A26" s="11" t="inlineStr">
        <is>
          <t>W-MANIFEST: signed release manifests that expire (added 2026-10-16; D-64 (a), B-64)</t>
        </is>
      </c>
      <c r="B26" s="11" t="inlineStr">
        <is>
          <t>Lucebox signs its releases with Ed25519, and a manifest expires after 120 days</t>
        </is>
      </c>
      <c r="C26" s="11" t="inlineStr">
        <is>
          <t>Phase 4 and the llama.cpp builds pin exact versions and build once, with no expiry; the idea implies no updater and no outbound check, but nothing on Day 1 needs it</t>
        </is>
      </c>
      <c r="D26" s="11" t="inlineStr">
        <is>
          <t>A decision to re-attest the node's own pinned images on a schedule, as a cheap discipline with no updater and no outbound check</t>
        </is>
      </c>
    </row>
    <row r="27">
      <c r="A27" s="11" t="inlineStr">
        <is>
          <t>W-SESSIONLOG: retrieval from local agent session logs (added 2026-10-16; D-64 (a), B-65)</t>
        </is>
      </c>
      <c r="B27" s="11" t="inlineStr">
        <is>
          <t>Lucebox's "Learning" without the marketing: relevant past work retrieved from local agent session logs into the prompt; retrieval, not training (its LoRA adapters are "Coming soon")</t>
        </is>
      </c>
      <c r="C27" s="11" t="inlineStr">
        <is>
          <t>The Vector Cortex and the graph layer (10.1, 10.2) index memory and documents, not session logs, and nothing on Day 1 needs them</t>
        </is>
      </c>
      <c r="D27" s="11" t="inlineStr">
        <is>
          <t>The live ATLAS has session logs worth retrieving: they then become a candidate source for the existing retrieval stack, not a new one</t>
        </is>
      </c>
    </row>
    <row r="28">
      <c r="A28"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 The five items of 2026-10-16 come from the Lucebox review (D-62 (a), D-63 (a), D-64 (a), approved by the Principal): none is adopted and none changes Day 1.</t>
        </is>
      </c>
    </row>
    <row r="30">
      <c r="A30" s="3" t="inlineStr">
        <is>
          <t>Memory budget</t>
        </is>
      </c>
    </row>
    <row r="31">
      <c r="A31" s="10" t="inlineStr">
        <is>
          <t>Consumer</t>
        </is>
      </c>
      <c r="B31" s="10" t="inlineStr">
        <is>
          <t>Budget</t>
        </is>
      </c>
      <c r="C31" s="10" t="inlineStr">
        <is>
          <t>Notes</t>
        </is>
      </c>
    </row>
    <row r="32">
      <c r="A32" s="11" t="inlineStr">
        <is>
          <t>Ubuntu Server, XFCE, Docker, Cockpit</t>
        </is>
      </c>
      <c r="B32" s="11" t="inlineStr">
        <is>
          <t>4 GB</t>
        </is>
      </c>
      <c r="C32" s="11" t="inlineStr">
        <is>
          <t>XFCE adds roughly 0.5 GB over the headless figure in v0.1</t>
        </is>
      </c>
    </row>
    <row r="33">
      <c r="A33" s="11" t="inlineStr">
        <is>
          <t>Open WebUI, ChromaDB, graph store</t>
        </is>
      </c>
      <c r="B33" s="11" t="inlineStr">
        <is>
          <t>3 GB</t>
        </is>
      </c>
      <c r="C33" s="11" t="inlineStr">
        <is>
          <t>v0.4.0: the embedding model has its own row below (D-14 (e)); v0.3.5 counted it here, at 4 GB for the row</t>
        </is>
      </c>
    </row>
    <row r="34">
      <c r="A34" s="11" t="inlineStr">
        <is>
          <t>Kokoro, Whisper Large-v3-Turbo, PyAnnote</t>
        </is>
      </c>
      <c r="B34" s="11" t="inlineStr">
        <is>
          <t>3 GB</t>
        </is>
      </c>
      <c r="C34" s="11" t="inlineStr">
        <is>
          <t>Always loaded. v0.4.0 (C-06): the diarisation pipeline is pyannote speaker-diarization-community-1, replacing 3.1, which V6 probes only as a diagnostic when community-1 is refused (14.1); nothing falls back to it</t>
        </is>
      </c>
    </row>
    <row r="35">
      <c r="A35" s="11" t="inlineStr">
        <is>
          <t>Orchestrator, Celery workers, Redis, Sentinel, ntfy, WG-Easy</t>
        </is>
      </c>
      <c r="B35" s="11" t="inlineStr">
        <is>
          <t>1–2 GB</t>
        </is>
      </c>
      <c r="C35" s="11" t="inlineStr"/>
    </row>
    <row r="36">
      <c r="A36" s="11" t="inlineStr">
        <is>
          <t>CPU-side subtotal</t>
        </is>
      </c>
      <c r="B36" s="11" t="inlineStr">
        <is>
          <t>~12 GB</t>
        </is>
      </c>
      <c r="C36" s="11" t="inlineStr">
        <is>
          <t>Inside the Arbiter's fixed 16 GiB host reserve, with transient CPU work and kernel overhead (S44, S48); the host-side consumers the reserve covers are bounded since S55 (below the table)</t>
        </is>
      </c>
    </row>
    <row r="37">
      <c r="A37" s="11" t="inlineStr">
        <is>
          <t>Eleanor's resident router model, Qwen3.5-4B Q8_0, on the iGPU</t>
        </is>
      </c>
      <c r="B37" s="11" t="inlineStr">
        <is>
          <t>~5.5 GiB</t>
        </is>
      </c>
      <c r="C37" s="11" t="inlineStr">
        <is>
          <t>Always loaded. The whole GPU resident set since v0.4.0: a 4.48 GB file (4.17 GiB), about 0.53 GiB of q8_0 KV at 4 × 8k and its compute buffers (INFERRED until the Arbiter measures the set at startup). Classification only: Eleanor's own persona work runs on GLM-5.3-Flash (P-10)</t>
        </is>
      </c>
    </row>
    <row r="38">
      <c r="A38" s="11" t="inlineStr">
        <is>
          <t>Qwen3-Embedding-4B and Qwen3-Reranker-4B Q8_0, on the CPU</t>
        </is>
      </c>
      <c r="B38" s="11" t="inlineStr">
        <is>
          <t>~9.6 GiB</t>
        </is>
      </c>
      <c r="C38" s="11" t="inlineStr">
        <is>
          <t>Always loaded (D-14 (e), D-45 (a), C-02, C-03), replacing the bge pair. Two 4.28 GB files (2 × 3.99 GiB), each with about 0.30 GiB of q8_0 KV at 4,096 tokens and a 0.5 GiB compute allowance: 9.57 GiB projected (INFERRED). They run with --device none, so the GPU memory counter never shows them; the Arbiter charges each unit its weights' bytes in full (they stay file-backed pages the kernel may drop and re-read, so VmRSS can show less than the file) plus its measured anonymous memory (RssAnon + RssShmem of the unit's main process: the KV cache and compute buffers), never below this projection, which stands in while a unit cannot be measured: the host resident set. The host-reserve warning (S44) looks past only that anonymous share, since clean file pages count as available; atlas-admin arbiter status applies the same rule. T-15 measures their real host footprint and their throughput on the CPU against the iGPU (to-do)</t>
        </is>
      </c>
    </row>
    <row r="39">
      <c r="A39" s="11" t="inlineStr">
        <is>
          <t>Withheld from engines</t>
        </is>
      </c>
      <c r="B39" s="11" t="inlineStr">
        <is>
          <t>~31 GiB</t>
        </is>
      </c>
      <c r="C39" s="11" t="inlineStr">
        <is>
          <t>The 16 GiB reserve, the GPU resident set (~5.5) and the host resident set (~9.6). v0.3.5 withheld about 22 to 24 GiB: the reserve and a GPU set of 6 to 8 GiB with the bge pair on the iGPU</t>
        </is>
      </c>
    </row>
    <row r="40">
      <c r="A40" s="11" t="inlineStr">
        <is>
          <t>Usable for engines</t>
        </is>
      </c>
      <c r="B40" s="11" t="inlineStr">
        <is>
          <t>~156 GiB (expected)</t>
        </is>
      </c>
      <c r="C40" s="11" t="inlineStr">
        <is>
          <t>The memory pool minus what is withheld above (v0.3.5 said ~164 GiB; v0.3.4 said ~180 GB minus ~17 GB, ~170 GB). The Arbiter computes it in GiB as the smaller of the GTT total and MemTotal (kernel 7.0.0-38 reports the requested 192 GiB, more than the node has; S47), minus the GPU resident set it measures (the router alone since v0.4.0, about 5.5 GiB), minus the host resident set (the CPU retrieval pair, about 9.6 GiB, D-14 (e)),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largest seats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− 5.5 − 9.6 − 16 = about 155.9 to 156.9 GiB, about 156 GiB expected (INFERRED). The largest Day 1 seat, GLM-5.3-Flash at 155.05 GiB projected, fits while MemTotal is at least 155.05 + 16 + 5.5 + 9.57 = about 186.1 GiB, which leaves 0.9 to 1.9 GiB to spare; DeepSeek-V4-Flash-0731 at 153.64 GiB needs about 184.7 GiB and leaves 2.3 to 3.3 GiB (table below). With the reservation still in place MemTotal would be about 183 to 184 GiB, below both thresholds (183.5 GiB refuses both seats), so V3a fails on any reserved crash-kernel memory. Every figure in the table below is measured against this budget, not against the raw 192 GB. VERIFY V3 on first boot before anything depends on it</t>
        </is>
      </c>
    </row>
    <row r="41">
      <c r="A41" s="2" t="inlineStr">
        <is>
          <t>v0.4.0 (D-14 (e), D-31, D-32, approved by the Principal on 2026-10-16): the router is the whole GPU resident set (about 5.5 GiB); the Qwen3 embedder and reranker run on the CPU and the Engine Arbiter charges them as a host resident set of their own (about 9.6 GiB projected; once running, their weights in full plus their measured anonymous memory, never below the projection); every engine is budgeted from the exact bytes of its files, and one LLM seat runs alone in what is left, about 156 GiB expected. The Arbiter budgets from min(GTT total, MemTotal) and keeps the 16 GiB host reserve for what the GPU memory counter never sees (v0.3.5, S44, S48, S49): the CPU-side rows (about 12 GB) plus transient CPU work and kernel overhead. The fit needs MemTotal near its expected 187 to 188 GiB, which holds only because Phase 1 step 4 removes the 4.25 GiB that kdump-tools reserves for a crash kernel (S48) and puts kho=off on the kernel line (S49), V3a proving both; with the reservation in place neither Day 1 seat fits. ATLAS_ARBITER_HEADROOM_GIB in orchestrator.env changes the reserve and ATLAS_ARBITER_MAX_RESIDENT the seat limit (default 1). Each chat llama-server's host-RAM prompt cache and its context checkpoints sit outside the budget; since S55 (approved by the Principal on 2026-10-17) every engine has an explicit --cache-ram (4096 MiB for chat and vision, 1024 for the router, 0 for the CPU pair, so at most 5 GiB for the router and one seat where the 8 GiB default allowed 16), /tmp is capped at 4 GiB, the Celery cpu worker runs at most 8 children, Kokoro, speaches and Docling are capped, and the out-of-memory killer takes background work first. Phase 3 measures the caches and raises the to-do cache-ram (S52), which asks whether to change a cap.</t>
        </is>
      </c>
    </row>
    <row r="43">
      <c r="A43" s="3" t="inlineStr">
        <is>
          <t>What each Day 1 seat takes, run alone (4.1, v0.4.0)</t>
        </is>
      </c>
    </row>
    <row r="44">
      <c r="A44" s="10" t="inlineStr">
        <is>
          <t>Seat, run alone</t>
        </is>
      </c>
      <c r="B44" s="10" t="inlineStr">
        <is>
          <t>Projected footprint</t>
        </is>
      </c>
      <c r="C44" s="10" t="inlineStr">
        <is>
          <t>Verdict</t>
        </is>
      </c>
    </row>
    <row r="45">
      <c r="A45" s="11" t="inlineStr">
        <is>
          <t>GLM-5.3-Flash UD-IQ4_XS with its glm5v mmproj (157.95 GB = 147.10 GiB of files), 8 × 32k, f16 KV</t>
        </is>
      </c>
      <c r="B45" s="11" t="inlineStr">
        <is>
          <t>155.05 GiB: weights 147.10, KV 4.81, recurrent state 1.14, compute buffers 2.0</t>
        </is>
      </c>
      <c r="C45" s="11" t="inlineStr">
        <is>
          <t>Fits, with 0.9 to 1.9 GiB to spare: the thinnest margin of the set. It is refused if the GPU resident set exceeds about 6.4 GiB at a MemTotal of 187 GiB, or if MemTotal is below about 186.1 GiB. Relief, in order: Phase 3's measured footprint replaces the projection (4.2 rule 1); fewer GLM slots (D-48, 4.3); a q8_0 cache if T-04 allows it (2.25 GiB less); a smaller reserve once host use has been measured. The to-do kv-estimates carries the measured figures for the Principal's decision</t>
        </is>
      </c>
    </row>
    <row r="46">
      <c r="A46" s="11" t="inlineStr">
        <is>
          <t>DeepSeek-V4-Flash-0731 UD-Q8_K_XL (161.87 GB = 150.75 GiB), 1 × 131,072, f16 KV</t>
        </is>
      </c>
      <c r="B46" s="11" t="inlineStr">
        <is>
          <t>153.64 GiB: weights 150.75, KV 0.84, per-slot state 0.04, compute buffers 2.0 (the q8_0 rung: 153.24)</t>
        </is>
      </c>
      <c r="C46" s="11" t="inlineStr">
        <is>
          <t>Fits, with 2.3 to 3.3 GiB to spare. Before D-31 the 161.87 GB file was read as 161.87 GiB and refused. The register's "about 13 GiB" of room (D-11) assumed the bge pair on the iGPU; with the CPU pair resident the room is this. Should Phase 3 find it short (T-06), the relief order is: stop the reranker, which has no Day 1 caller (about 4.8 GiB); cut the context; fall back to UD-Q4_K_XL (155.10 GB = 144.44 GiB, D-11 (b)). Its native 1,048,576-token window does not fit (6.72 GiB of f16 KV)</t>
        </is>
      </c>
    </row>
    <row r="47">
      <c r="A47" s="11" t="inlineStr">
        <is>
          <t>gpt-oss-120b F16-trunk GGUF, native MXFP4 experts (65.37 GB = 60.88 GiB), 8 × 32k, q8_0 KV</t>
        </is>
      </c>
      <c r="B47" s="11" t="inlineStr">
        <is>
          <t>68.29 GiB: weights 60.88, KV 4.78, sliding-window cache 0.63, compute buffers 2.0</t>
        </is>
      </c>
      <c r="C47" s="11" t="inlineStr">
        <is>
          <t>Fits, with about 88 GiB to spare that stays unused: it runs alone like every seat (4.2 rule 3). The fast utility and the fallback floor every seat can use (D-12, D-40)</t>
        </is>
      </c>
    </row>
    <row r="48">
      <c r="A48" s="11" t="inlineStr">
        <is>
          <t>v0.3.5's two-engine pairings (142 GB and 126 GB) and the everyday text-and-vision pair</t>
        </is>
      </c>
      <c r="B48" s="11" t="inlineStr">
        <is>
          <t>—</t>
        </is>
      </c>
      <c r="C48" s="11" t="inlineStr">
        <is>
          <t>Withdrawn (D-32 (a), S-22): one LLM seat is resident at a time, and vision runs on the GLM unit itself (D-20 (a)). Nemotron 3 Super, Qwen3.5-122B, Qwen2.5-VL-72B and Meditron leave the Day 1 roster (D-13, D-21)</t>
        </is>
      </c>
    </row>
    <row r="49">
      <c r="A49" s="2" t="inlineStr">
        <is>
          <t>One LLM seat is resident at a time (D-32 (a); C30 on sheet 2 supersedes C26); exactly one generation runs, everywhere, Celery jobs included. Every figure is the Arbiter's own projection at the profile engines.json renders, INFERRED until Phase 3 measures it (to-dos kv-estimates and cache-ram). GLM-5.3-Flash has the thinnest margin, 0.9 to 1.9 GiB; its relief order is in its row. The gpt-oss-120b-abliterated entry is unchanged by this revision.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2026-10-17T03:37:03Z</dcterms:created>
  <dcterms:modified xsi:type="dcterms:W3CDTF">2026-10-17T03:37:03Z</dcterms:modified>
</cp:coreProperties>
</file>