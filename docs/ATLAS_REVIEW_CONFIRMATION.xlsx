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 Decisions" sheetId="2" state="visible" r:id="rId2"/>
    <sheet name="2 Resolutions" sheetId="3" state="visible" r:id="rId3"/>
    <sheet name="3 Risks" sheetId="4" state="visible" r:id="rId4"/>
    <sheet name="4 Verification" sheetId="5" state="visible" r:id="rId5"/>
    <sheet name="5 Checklist" sheetId="6" state="visible" r:id="rId6"/>
    <sheet name="Ref Engines" sheetId="7" state="visible" r:id="rId7"/>
    <sheet name="Ref Domains" sheetId="8" state="visible" r:id="rId8"/>
    <sheet name="Ref Task Forces" sheetId="9" state="visible" r:id="rId9"/>
    <sheet name="Ref Integrations" sheetId="10" state="visible" r:id="rId10"/>
    <sheet name="Ref Voice" sheetId="11" state="visible" r:id="rId11"/>
    <sheet name="Ref Multimodal" sheetId="12" state="visible" r:id="rId12"/>
    <sheet name="Ref Governance" sheetId="13" state="visible" r:id="rId13"/>
    <sheet name="Ref Day 1" sheetId="14" state="visible" r:id="rId14"/>
  </sheets>
  <definedNames>
    <definedName name="_xlnm._FilterDatabase" localSheetId="1" hidden="1">'1 Decisions'!$A$4:$G$18</definedName>
    <definedName name="_xlnm._FilterDatabase" localSheetId="2" hidden="1">'2 Resolutions'!$A$4:$E$24</definedName>
    <definedName name="_xlnm._FilterDatabase" localSheetId="3" hidden="1">'3 Risks'!$A$4:$G$22</definedName>
    <definedName name="_xlnm._FilterDatabase" localSheetId="4" hidden="1">'4 Verification'!$A$4:$E$22</definedName>
    <definedName name="_xlnm._FilterDatabase" localSheetId="5" hidden="1">'5 Checklist'!$A$4:$E$18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4" fillId="3" borderId="1" pivotButton="0" quotePrefix="0" xfId="0"/>
    <xf numFmtId="0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30" customWidth="1" min="3" max="3"/>
    <col width="14" customWidth="1" min="4" max="4"/>
    <col width="22" customWidth="1" min="5" max="5"/>
    <col width="40" customWidth="1" min="6" max="6"/>
    <col width="24" customWidth="1" min="7" max="7"/>
  </cols>
  <sheetData>
    <row r="1">
      <c r="A1" s="1" t="inlineStr">
        <is>
          <t>A.T.L.A.S. Review - Confirmation Workbook</t>
        </is>
      </c>
    </row>
    <row r="2">
      <c r="A2" s="2" t="inlineStr">
        <is>
          <t>Companion to docs/ATLAS_FRAMEWORK_REVIEW.md, baseline v0.1 (2026-09-18). Nothing has been executed; this is the sign-off sheet before Day 1.</t>
        </is>
      </c>
    </row>
    <row r="4">
      <c r="A4" s="3" t="inlineStr">
        <is>
          <t>How to use this workbook</t>
        </is>
      </c>
    </row>
    <row r="5">
      <c r="A5" s="4" t="inlineStr">
        <is>
          <t>1. Work through sheets 1 to 5 in order. Yellow cells are yours; every other cell is reference and should not be edited.</t>
        </is>
      </c>
    </row>
    <row r="6">
      <c r="A6" s="4" t="inlineStr">
        <is>
          <t>2. Use the dropdown in each response column. Cells colour green, amber, or red as you answer.</t>
        </is>
      </c>
    </row>
    <row r="7">
      <c r="A7" s="4" t="inlineStr">
        <is>
          <t>3. Where you choose 'Change' or 'Disagree', write the alternative in the next column so it can be folded back into the brief.</t>
        </is>
      </c>
    </row>
    <row r="8">
      <c r="A8" s="4" t="inlineStr">
        <is>
          <t>4. Sheet 4 (Verification) is filled during Day 1 as each phase gate runs, not now.</t>
        </is>
      </c>
    </row>
    <row r="9">
      <c r="A9" s="4" t="inlineStr">
        <is>
          <t>5. The Ref sheets carry the agreed maps (engines, cabinet, domains, task forces, integrations, voice, multimodal, governance, Day 1) for checking against.</t>
        </is>
      </c>
    </row>
    <row r="10">
      <c r="A10" s="4" t="inlineStr">
        <is>
          <t>6. Return the file, or paste the response columns back, and the brief is updated to v0.2.</t>
        </is>
      </c>
    </row>
    <row r="12">
      <c r="A12" s="3" t="inlineStr">
        <is>
          <t>Legend</t>
        </is>
      </c>
    </row>
    <row r="13">
      <c r="A13" s="5" t="inlineStr">
        <is>
          <t>Yellow fill</t>
        </is>
      </c>
      <c r="B13" s="6" t="inlineStr">
        <is>
          <t>Cell for you to fill in</t>
        </is>
      </c>
    </row>
    <row r="14">
      <c r="A14" s="7" t="inlineStr">
        <is>
          <t>Green</t>
        </is>
      </c>
      <c r="B14" s="6" t="inlineStr">
        <is>
          <t>Accepted / Yes / Pass</t>
        </is>
      </c>
    </row>
    <row r="15">
      <c r="A15" s="8" t="inlineStr">
        <is>
          <t>Amber</t>
        </is>
      </c>
      <c r="B15" s="6" t="inlineStr">
        <is>
          <t>Need more information / Deferred / Not yet run</t>
        </is>
      </c>
    </row>
    <row r="16">
      <c r="A16" s="9" t="inlineStr">
        <is>
          <t>Red</t>
        </is>
      </c>
      <c r="B16" s="6" t="inlineStr">
        <is>
          <t>Change / Disagree / Discuss / No / Fail</t>
        </is>
      </c>
    </row>
    <row r="19">
      <c r="A19" s="3" t="inlineStr">
        <is>
          <t>Progress (formulas update as you answer)</t>
        </is>
      </c>
    </row>
    <row r="20">
      <c r="A20" s="10" t="inlineStr">
        <is>
          <t>Sheet</t>
        </is>
      </c>
      <c r="B20" s="10" t="inlineStr">
        <is>
          <t>Items</t>
        </is>
      </c>
      <c r="C20" s="10" t="inlineStr">
        <is>
          <t>Answered</t>
        </is>
      </c>
      <c r="D20" s="10" t="inlineStr">
        <is>
          <t>Positive</t>
        </is>
      </c>
      <c r="E20" s="10" t="inlineStr">
        <is>
          <t>Hold</t>
        </is>
      </c>
      <c r="F20" s="10" t="inlineStr">
        <is>
          <t>Negative</t>
        </is>
      </c>
      <c r="G20" s="10" t="inlineStr">
        <is>
          <t>Remaining</t>
        </is>
      </c>
    </row>
    <row r="21">
      <c r="A21" s="11" t="inlineStr">
        <is>
          <t>1 Decisions</t>
        </is>
      </c>
      <c r="B21" s="12" t="n">
        <v>14</v>
      </c>
      <c r="C21" s="12">
        <f>B21-G21</f>
        <v/>
      </c>
      <c r="D21" s="12">
        <f>COUNTIF('1 Decisions'!$E$5:$E$18,"Accept recommendation")</f>
        <v/>
      </c>
      <c r="E21" s="12">
        <f>COUNTIF('1 Decisions'!$E$5:$E$18,"Need more information")</f>
        <v/>
      </c>
      <c r="F21" s="12">
        <f>COUNTIF('1 Decisions'!$E$5:$E$18,"Change")</f>
        <v/>
      </c>
      <c r="G21" s="12">
        <f>COUNTBLANK('1 Decisions'!$E$5:$E$18)+COUNTIF('1 Decisions'!$E$5:$E$18,"Not yet run")</f>
        <v/>
      </c>
    </row>
    <row r="22">
      <c r="A22" s="11" t="inlineStr">
        <is>
          <t>2 Resolutions</t>
        </is>
      </c>
      <c r="B22" s="12" t="n">
        <v>20</v>
      </c>
      <c r="C22" s="12">
        <f>B22-G22</f>
        <v/>
      </c>
      <c r="D22" s="12">
        <f>COUNTIF('2 Resolutions'!$D$5:$D$24,"Accept")</f>
        <v/>
      </c>
      <c r="E22" s="12">
        <f>0</f>
        <v/>
      </c>
      <c r="F22" s="12">
        <f>COUNTIF('2 Resolutions'!$D$5:$D$24,"Disagree - return to decisions")</f>
        <v/>
      </c>
      <c r="G22" s="12">
        <f>COUNTBLANK('2 Resolutions'!$D$5:$D$24)+COUNTIF('2 Resolutions'!$D$5:$D$24,"Not yet run")</f>
        <v/>
      </c>
    </row>
    <row r="23">
      <c r="A23" s="11" t="inlineStr">
        <is>
          <t>3 Risks</t>
        </is>
      </c>
      <c r="B23" s="12" t="n">
        <v>18</v>
      </c>
      <c r="C23" s="12">
        <f>B23-G23</f>
        <v/>
      </c>
      <c r="D23" s="12">
        <f>COUNTIF('3 Risks'!$F$5:$F$22,"Yes")</f>
        <v/>
      </c>
      <c r="E23" s="12">
        <f>0</f>
        <v/>
      </c>
      <c r="F23" s="12">
        <f>COUNTIF('3 Risks'!$F$5:$F$22,"Discuss")</f>
        <v/>
      </c>
      <c r="G23" s="12">
        <f>COUNTBLANK('3 Risks'!$F$5:$F$22)+COUNTIF('3 Risks'!$F$5:$F$22,"Not yet run")</f>
        <v/>
      </c>
    </row>
    <row r="24">
      <c r="A24" s="11" t="inlineStr">
        <is>
          <t>4 Verification</t>
        </is>
      </c>
      <c r="B24" s="12" t="n">
        <v>18</v>
      </c>
      <c r="C24" s="12">
        <f>B24-G24</f>
        <v/>
      </c>
      <c r="D24" s="12">
        <f>COUNTIF('4 Verification'!$D$5:$D$22,"Pass")</f>
        <v/>
      </c>
      <c r="E24" s="12">
        <f>COUNTIF('4 Verification'!$D$5:$D$22,"Deferred")</f>
        <v/>
      </c>
      <c r="F24" s="12">
        <f>COUNTIF('4 Verification'!$D$5:$D$22,"Fail")</f>
        <v/>
      </c>
      <c r="G24" s="12">
        <f>COUNTBLANK('4 Verification'!$D$5:$D$22)+COUNTIF('4 Verification'!$D$5:$D$22,"Not yet run")</f>
        <v/>
      </c>
    </row>
    <row r="25">
      <c r="A25" s="11" t="inlineStr">
        <is>
          <t>5 Checklist</t>
        </is>
      </c>
      <c r="B25" s="12" t="n">
        <v>14</v>
      </c>
      <c r="C25" s="12">
        <f>B25-G25</f>
        <v/>
      </c>
      <c r="D25" s="12">
        <f>COUNTIF('5 Checklist'!$D$5:$D$18,"Yes")+COUNTIF('5 Checklist'!$D$5:$D$18,"N/A")</f>
        <v/>
      </c>
      <c r="E25" s="12">
        <f>0</f>
        <v/>
      </c>
      <c r="F25" s="12">
        <f>COUNTIF('5 Checklist'!$D$5:$D$18,"No")</f>
        <v/>
      </c>
      <c r="G25" s="12">
        <f>COUNTBLANK('5 Checklist'!$D$5:$D$18)+COUNTIF('5 Checklist'!$D$5:$D$18,"Not yet run")</f>
        <v/>
      </c>
    </row>
    <row r="26">
      <c r="A26" s="3" t="inlineStr">
        <is>
          <t>Total</t>
        </is>
      </c>
      <c r="B26" s="13">
        <f>SUM(B21:B25)</f>
        <v/>
      </c>
      <c r="C26" s="13">
        <f>SUM(C21:C25)</f>
        <v/>
      </c>
      <c r="D26" s="13">
        <f>SUM(D21:D25)</f>
        <v/>
      </c>
      <c r="E26" s="13">
        <f>SUM(E21:E25)</f>
        <v/>
      </c>
      <c r="F26" s="13">
        <f>SUM(F21:F25)</f>
        <v/>
      </c>
      <c r="G26" s="13">
        <f>SUM(G21:G25)</f>
        <v/>
      </c>
    </row>
    <row r="27">
      <c r="A27" s="2" t="inlineStr">
        <is>
          <t>Positive / Hold / Negative map to each sheet's dropdown: Decisions = Accept / Need more information / Change; Resolutions = Accept / - / Disagree; Risks = Yes / - / Discuss; Verification = Pass / Deferred / Fail; Checklist = Yes or N/A / - / No.</t>
        </is>
      </c>
    </row>
    <row r="30">
      <c r="A30" s="3" t="inlineStr">
        <is>
          <t>Example of a completed decision row (format only; not a real answer)</t>
        </is>
      </c>
    </row>
    <row r="31">
      <c r="A31" s="10" t="inlineStr">
        <is>
          <t>ID</t>
        </is>
      </c>
      <c r="B31" s="10" t="inlineStr">
        <is>
          <t>Decision</t>
        </is>
      </c>
      <c r="C31" s="10" t="inlineStr">
        <is>
          <t>Recommendation</t>
        </is>
      </c>
      <c r="D31" s="10" t="inlineStr">
        <is>
          <t>Blocks</t>
        </is>
      </c>
      <c r="E31" s="10" t="inlineStr">
        <is>
          <t>Your response</t>
        </is>
      </c>
      <c r="F31" s="10" t="inlineStr">
        <is>
          <t>Your answer or alternative</t>
        </is>
      </c>
      <c r="G31" s="10" t="inlineStr">
        <is>
          <t>Notes</t>
        </is>
      </c>
    </row>
    <row r="32">
      <c r="A32" s="11" t="inlineStr">
        <is>
          <t>D0</t>
        </is>
      </c>
      <c r="B32" s="11" t="inlineStr">
        <is>
          <t>Example: which mail client the node uses</t>
        </is>
      </c>
      <c r="C32" s="11" t="inlineStr">
        <is>
          <t>Client A</t>
        </is>
      </c>
      <c r="D32" s="11" t="inlineStr">
        <is>
          <t>Phase 2</t>
        </is>
      </c>
      <c r="E32" s="14" t="inlineStr">
        <is>
          <t>Change</t>
        </is>
      </c>
      <c r="F32" s="15" t="inlineStr">
        <is>
          <t>Use client B, it already holds my accounts</t>
        </is>
      </c>
      <c r="G32" s="15" t="inlineStr">
        <is>
          <t>Discussed 2026-09-19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2" customWidth="1" min="2" max="2"/>
    <col width="48" customWidth="1" min="3" max="3"/>
    <col width="16" customWidth="1" min="4" max="4"/>
    <col width="22" customWidth="1" min="5" max="5"/>
    <col width="40" customWidth="1" min="6" max="6"/>
    <col width="30" customWidth="1" min="7" max="7"/>
  </cols>
  <sheetData>
    <row r="1">
      <c r="A1" s="1" t="inlineStr">
        <is>
          <t>1 Decisions</t>
        </is>
      </c>
    </row>
    <row r="2">
      <c r="A2" s="2" t="inlineStr">
        <is>
          <t>Section 19. Yellow cells are yours. Choose a response, and if it is 'Change' write the alternative in column F.</t>
        </is>
      </c>
    </row>
    <row r="4">
      <c r="A4" s="10" t="inlineStr">
        <is>
          <t>ID</t>
        </is>
      </c>
      <c r="B4" s="10" t="inlineStr">
        <is>
          <t>Decision</t>
        </is>
      </c>
      <c r="C4" s="10" t="inlineStr">
        <is>
          <t>Recommendation</t>
        </is>
      </c>
      <c r="D4" s="10" t="inlineStr">
        <is>
          <t>Blocks</t>
        </is>
      </c>
      <c r="E4" s="10" t="inlineStr">
        <is>
          <t>Your response</t>
        </is>
      </c>
      <c r="F4" s="10" t="inlineStr">
        <is>
          <t>Your answer or alternative</t>
        </is>
      </c>
      <c r="G4" s="10" t="inlineStr">
        <is>
          <t>Notes</t>
        </is>
      </c>
    </row>
    <row r="5">
      <c r="A5" s="12" t="inlineStr">
        <is>
          <t>D1</t>
        </is>
      </c>
      <c r="B5" s="11" t="inlineStr">
        <is>
          <t>Inference backend: llama-server or Ollama</t>
        </is>
      </c>
      <c r="C5" s="11" t="inlineStr">
        <is>
          <t>llama-server</t>
        </is>
      </c>
      <c r="D5" s="11" t="inlineStr">
        <is>
          <t>Phase 2</t>
        </is>
      </c>
      <c r="E5" s="16" t="n"/>
      <c r="F5" s="15" t="n"/>
      <c r="G5" s="15" t="n"/>
    </row>
    <row r="6">
      <c r="A6" s="12" t="inlineStr">
        <is>
          <t>D2</t>
        </is>
      </c>
      <c r="B6" s="11" t="inlineStr">
        <is>
          <t>Secure Boot: disable, or enrol keys for any DKMS module</t>
        </is>
      </c>
      <c r="C6" s="11" t="inlineStr">
        <is>
          <t>Disable on a headless node behind a firewall</t>
        </is>
      </c>
      <c r="D6" s="11" t="inlineStr">
        <is>
          <t>Phase 1</t>
        </is>
      </c>
      <c r="E6" s="16" t="n"/>
      <c r="F6" s="15" t="n"/>
      <c r="G6" s="15" t="n"/>
    </row>
    <row r="7">
      <c r="A7" s="12" t="inlineStr">
        <is>
          <t>D3</t>
        </is>
      </c>
      <c r="B7" s="11" t="inlineStr">
        <is>
          <t>Where the LUKS recovery key and restic passphrase are kept off-node</t>
        </is>
      </c>
      <c r="C7" s="11" t="inlineStr">
        <is>
          <t>Password manager plus a printed copy in a physical safe</t>
        </is>
      </c>
      <c r="D7" s="11" t="inlineStr">
        <is>
          <t>Phase 1</t>
        </is>
      </c>
      <c r="E7" s="16" t="n"/>
      <c r="F7" s="15" t="n"/>
      <c r="G7" s="15" t="n"/>
    </row>
    <row r="8">
      <c r="A8" s="12" t="inlineStr">
        <is>
          <t>D4</t>
        </is>
      </c>
      <c r="B8" s="11" t="inlineStr">
        <is>
          <t>Router model and embedding model</t>
        </is>
      </c>
      <c r="C8" s="11" t="inlineStr">
        <is>
          <t>Qwen3.5 4B-class instruct, bge-m3 embeddings, bge-reranker-v2-m3</t>
        </is>
      </c>
      <c r="D8" s="11" t="inlineStr">
        <is>
          <t>Phase 2</t>
        </is>
      </c>
      <c r="E8" s="16" t="n"/>
      <c r="F8" s="15" t="n"/>
      <c r="G8" s="15" t="n"/>
    </row>
    <row r="9">
      <c r="A9" s="12" t="inlineStr">
        <is>
          <t>D5</t>
        </is>
      </c>
      <c r="B9" s="11" t="inlineStr">
        <is>
          <t>Whether Bare-Metal OS Exploitation and Quantum Computing become domains</t>
        </is>
      </c>
      <c r="C9" s="11" t="inlineStr">
        <is>
          <t>Hold in reserve until a concrete need</t>
        </is>
      </c>
      <c r="D9" s="11" t="inlineStr">
        <is>
          <t>None</t>
        </is>
      </c>
      <c r="E9" s="16" t="n"/>
      <c r="F9" s="15" t="n"/>
      <c r="G9" s="15" t="n"/>
    </row>
    <row r="10">
      <c r="A10" s="12" t="inlineStr">
        <is>
          <t>D6</t>
        </is>
      </c>
      <c r="B10" s="11" t="inlineStr">
        <is>
          <t>Sentinel feed list</t>
        </is>
      </c>
      <c r="C10" s="11" t="inlineStr">
        <is>
          <t>CoinDesk, ASX and US index feed, RSS news, node telemetry</t>
        </is>
      </c>
      <c r="D10" s="11" t="inlineStr">
        <is>
          <t>Sentinel enablement</t>
        </is>
      </c>
      <c r="E10" s="16" t="n"/>
      <c r="F10" s="15" t="n"/>
      <c r="G10" s="15" t="n"/>
    </row>
    <row r="11">
      <c r="A11" s="12" t="inlineStr">
        <is>
          <t>D7</t>
        </is>
      </c>
      <c r="B11" s="11" t="inlineStr">
        <is>
          <t>Graph layer: Microsoft GraphRAG or LightRAG</t>
        </is>
      </c>
      <c r="C11" s="11" t="inlineStr">
        <is>
          <t>LightRAG, lighter indexing on this hardware</t>
        </is>
      </c>
      <c r="D11" s="11" t="inlineStr">
        <is>
          <t>Phase 2</t>
        </is>
      </c>
      <c r="E11" s="16" t="n"/>
      <c r="F11" s="15" t="n"/>
      <c r="G11" s="15" t="n"/>
    </row>
    <row r="12">
      <c r="A12" s="12" t="inlineStr">
        <is>
          <t>D8</t>
        </is>
      </c>
      <c r="B12" s="11" t="inlineStr">
        <is>
          <t>The never-without-the-Principal list (16.3)</t>
        </is>
      </c>
      <c r="C12" s="11" t="inlineStr">
        <is>
          <t>Adopt the ten proposed items</t>
        </is>
      </c>
      <c r="D12" s="11" t="inlineStr">
        <is>
          <t>Phase 2</t>
        </is>
      </c>
      <c r="E12" s="16" t="n"/>
      <c r="F12" s="15" t="n"/>
      <c r="G12" s="15" t="n"/>
    </row>
    <row r="13">
      <c r="A13" s="12" t="inlineStr">
        <is>
          <t>D9</t>
        </is>
      </c>
      <c r="B13" s="11" t="inlineStr">
        <is>
          <t>Retention rule for chats, logs, backups (10.4, 9.5)</t>
        </is>
      </c>
      <c r="C13" s="11" t="inlineStr">
        <is>
          <t>Adopt proposed defaults</t>
        </is>
      </c>
      <c r="D13" s="11" t="inlineStr">
        <is>
          <t>Phase 2</t>
        </is>
      </c>
      <c r="E13" s="16" t="n"/>
      <c r="F13" s="15" t="n"/>
      <c r="G13" s="15" t="n"/>
    </row>
    <row r="14">
      <c r="A14" s="12" t="inlineStr">
        <is>
          <t>D10</t>
        </is>
      </c>
      <c r="B14" s="11" t="inlineStr">
        <is>
          <t>Primary vision engine: GLM-4.6V-Flash or Qwen2.5-VL</t>
        </is>
      </c>
      <c r="C14" s="11" t="inlineStr">
        <is>
          <t>Test both in Phase 4, keep the better reader as primary, the other as cross-check</t>
        </is>
      </c>
      <c r="D14" s="11" t="inlineStr">
        <is>
          <t>Phase 4</t>
        </is>
      </c>
      <c r="E14" s="16" t="n"/>
      <c r="F14" s="15" t="n"/>
      <c r="G14" s="15" t="n"/>
    </row>
    <row r="15">
      <c r="A15" s="12" t="inlineStr">
        <is>
          <t>D11</t>
        </is>
      </c>
      <c r="B15" s="11" t="inlineStr">
        <is>
          <t>Apple .ipa build path</t>
        </is>
      </c>
      <c r="C15" s="11" t="inlineStr">
        <is>
          <t>Principal's own Mac if one exists, otherwise a licensed cloud Mac runner, never OSX-KVM on this node</t>
        </is>
      </c>
      <c r="D15" s="11" t="inlineStr">
        <is>
          <t>Phase 2 tool</t>
        </is>
      </c>
      <c r="E15" s="16" t="n"/>
      <c r="F15" s="15" t="n"/>
      <c r="G15" s="15" t="n"/>
    </row>
    <row r="16">
      <c r="A16" s="12" t="inlineStr">
        <is>
          <t>D12</t>
        </is>
      </c>
      <c r="B16" s="11" t="inlineStr">
        <is>
          <t>Meditron-70B: include or skip</t>
        </is>
      </c>
      <c r="C16" s="11" t="inlineStr">
        <is>
          <t>Include, optional, low priority</t>
        </is>
      </c>
      <c r="D16" s="11" t="inlineStr">
        <is>
          <t>Phase 3</t>
        </is>
      </c>
      <c r="E16" s="16" t="n"/>
      <c r="F16" s="15" t="n"/>
      <c r="G16" s="15" t="n"/>
    </row>
    <row r="17">
      <c r="A17" s="12" t="inlineStr">
        <is>
          <t>D13</t>
        </is>
      </c>
      <c r="B17" s="11" t="inlineStr">
        <is>
          <t>Vault idle auto-lock period</t>
        </is>
      </c>
      <c r="C17" s="11" t="inlineStr">
        <is>
          <t>15 minutes</t>
        </is>
      </c>
      <c r="D17" s="11" t="inlineStr">
        <is>
          <t>Phase 2</t>
        </is>
      </c>
      <c r="E17" s="16" t="n"/>
      <c r="F17" s="15" t="n"/>
      <c r="G17" s="15" t="n"/>
    </row>
    <row r="18">
      <c r="A18" s="12" t="inlineStr">
        <is>
          <t>D14</t>
        </is>
      </c>
      <c r="B18" s="11" t="inlineStr">
        <is>
          <t>Whether external directors get real mailboxes or aliases on the Workspace domain</t>
        </is>
      </c>
      <c r="C18" s="11" t="inlineStr">
        <is>
          <t>Aliases on one Workspace mailbox per division, distinct display names and signatures</t>
        </is>
      </c>
      <c r="D18" s="11" t="inlineStr">
        <is>
          <t>Phase 2</t>
        </is>
      </c>
      <c r="E18" s="16" t="n"/>
      <c r="F18" s="15" t="n"/>
      <c r="G18" s="15" t="n"/>
    </row>
  </sheetData>
  <autoFilter ref="A4:G18"/>
  <conditionalFormatting sqref="E5:E18">
    <cfRule type="cellIs" priority="1" operator="equal" dxfId="0">
      <formula>"Accept recommendation"</formula>
    </cfRule>
    <cfRule type="cellIs" priority="2" operator="equal" dxfId="1">
      <formula>"Need more information"</formula>
    </cfRule>
    <cfRule type="cellIs" priority="3" operator="equal" dxfId="2">
      <formula>"Change"</formula>
    </cfRule>
  </conditionalFormatting>
  <dataValidations count="1">
    <dataValidation sqref="E5:E18" showDropDown="0" showInputMessage="0" showErrorMessage="0" allowBlank="1" errorTitle="Invalid entry" error="Pick a value from the list." promptTitle="Choose" prompt="Pick one: Accept recommendation / Change / Need more information" type="list">
      <formula1>"Accept recommendation,Change,Need more information"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5" customWidth="1" min="2" max="2"/>
    <col width="55" customWidth="1" min="3" max="3"/>
    <col width="22" customWidth="1" min="4" max="4"/>
    <col width="36" customWidth="1" min="5" max="5"/>
  </cols>
  <sheetData>
    <row r="1">
      <c r="A1" s="1" t="inlineStr">
        <is>
          <t>2 Resolutions</t>
        </is>
      </c>
    </row>
    <row r="2">
      <c r="A2" s="2" t="inlineStr">
        <is>
          <t>Section 18. Each row changes earlier text of the brief. 'Disagree' returns the item to the decision list.</t>
        </is>
      </c>
    </row>
    <row r="4">
      <c r="A4" s="10" t="inlineStr">
        <is>
          <t>ID</t>
        </is>
      </c>
      <c r="B4" s="10" t="inlineStr">
        <is>
          <t>Contradiction or ambiguity found</t>
        </is>
      </c>
      <c r="C4" s="10" t="inlineStr">
        <is>
          <t>Resolution adopted</t>
        </is>
      </c>
      <c r="D4" s="10" t="inlineStr">
        <is>
          <t>Your response</t>
        </is>
      </c>
      <c r="E4" s="10" t="inlineStr">
        <is>
          <t>Notes</t>
        </is>
      </c>
    </row>
    <row r="5">
      <c r="A5" s="12" t="inlineStr">
        <is>
          <t>C1</t>
        </is>
      </c>
      <c r="B5" s="11" t="inlineStr">
        <is>
          <t>Backend named as llama.cpp, then Ollama, then llama-server at different points</t>
        </is>
      </c>
      <c r="C5" s="11" t="inlineStr">
        <is>
          <t>llama-server primary on Vulkan; Ollama optional. D1 confirms</t>
        </is>
      </c>
      <c r="D5" s="16" t="n"/>
      <c r="E5" s="15" t="n"/>
    </row>
    <row r="6">
      <c r="A6" s="12" t="inlineStr">
        <is>
          <t>C2</t>
        </is>
      </c>
      <c r="B6" s="11" t="inlineStr">
        <is>
          <t>Ubuntu 26.04 chosen, but Phase 4 needs ROCm PyTorch, which does not install cleanly on the 26.04 host</t>
        </is>
      </c>
      <c r="C6" s="11" t="inlineStr">
        <is>
          <t>ROCm lives inside containers; host runs Vulkan only (3.4)</t>
        </is>
      </c>
      <c r="D6" s="16" t="n"/>
      <c r="E6" s="15" t="n"/>
    </row>
    <row r="7">
      <c r="A7" s="12" t="inlineStr">
        <is>
          <t>C3</t>
        </is>
      </c>
      <c r="B7" s="11" t="inlineStr">
        <is>
          <t>Windows 96 GB and Linux ~120 GB budgets both appeared</t>
        </is>
      </c>
      <c r="C7" s="11" t="inlineStr">
        <is>
          <t>Linux numbers are binding (4.1)</t>
        </is>
      </c>
      <c r="D7" s="16" t="n"/>
      <c r="E7" s="15" t="n"/>
    </row>
    <row r="8">
      <c r="A8" s="12" t="inlineStr">
        <is>
          <t>C4</t>
        </is>
      </c>
      <c r="B8" s="11" t="inlineStr">
        <is>
          <t>KV-cache proposal mixed shipped features with unmerged research</t>
        </is>
      </c>
      <c r="C8" s="11" t="inlineStr">
        <is>
          <t>Only shipped features adopted (4.3)</t>
        </is>
      </c>
      <c r="D8" s="16" t="n"/>
      <c r="E8" s="15" t="n"/>
    </row>
    <row r="9">
      <c r="A9" s="12" t="inlineStr">
        <is>
          <t>C5</t>
        </is>
      </c>
      <c r="B9" s="11" t="inlineStr">
        <is>
          <t>Meditron listed among PyTorch engines</t>
        </is>
      </c>
      <c r="C9" s="11" t="inlineStr">
        <is>
          <t>Runs through llama.cpp (5.1)</t>
        </is>
      </c>
      <c r="D9" s="16" t="n"/>
      <c r="E9" s="15" t="n"/>
    </row>
    <row r="10">
      <c r="A10" s="12" t="inlineStr">
        <is>
          <t>C6</t>
        </is>
      </c>
      <c r="B10" s="11" t="inlineStr">
        <is>
          <t>Arthur's override bound to the abliterated engine "for legal dissection"</t>
        </is>
      </c>
      <c r="C10" s="11" t="inlineStr">
        <is>
          <t>Override is Qwen3.5 (6.1)</t>
        </is>
      </c>
      <c r="D10" s="16" t="n"/>
      <c r="E10" s="15" t="n"/>
    </row>
    <row r="11">
      <c r="A11" s="12" t="inlineStr">
        <is>
          <t>C7</t>
        </is>
      </c>
      <c r="B11" s="11" t="inlineStr">
        <is>
          <t>Gideon and Minerva bound to the abliterated engine "for zero-hallucination"</t>
        </is>
      </c>
      <c r="C11" s="11" t="inlineStr">
        <is>
          <t>Standard engine, retrieval-grounded (6.2)</t>
        </is>
      </c>
      <c r="D11" s="16" t="n"/>
      <c r="E11" s="15" t="n"/>
    </row>
    <row r="12">
      <c r="A12" s="12" t="inlineStr">
        <is>
          <t>C8</t>
        </is>
      </c>
      <c r="B12" s="11" t="inlineStr">
        <is>
          <t>Router described as an Open WebUI pipeline</t>
        </is>
      </c>
      <c r="C12" s="11" t="inlineStr">
        <is>
          <t>Lives in the orchestrator; Filter is a relay (7.1)</t>
        </is>
      </c>
      <c r="D12" s="16" t="n"/>
      <c r="E12" s="15" t="n"/>
    </row>
    <row r="13">
      <c r="A13" s="12" t="inlineStr">
        <is>
          <t>C9</t>
        </is>
      </c>
      <c r="B13" s="11" t="inlineStr">
        <is>
          <t>Domain 27 phrased as "memetic warfare" and "sentiment manipulation"</t>
        </is>
      </c>
      <c r="C13" s="11" t="inlineStr">
        <is>
          <t>Retained under Helena with phrasing softened to legitimate growth and attribution work</t>
        </is>
      </c>
      <c r="D13" s="16" t="n"/>
      <c r="E13" s="15" t="n"/>
    </row>
    <row r="14">
      <c r="A14" s="12" t="inlineStr">
        <is>
          <t>C10</t>
        </is>
      </c>
      <c r="B14" s="11" t="inlineStr">
        <is>
          <t>Domain profiles' "Stateless MRTR, dispatch and decouple" removes the approval gate</t>
        </is>
      </c>
      <c r="C14" s="11" t="inlineStr">
        <is>
          <t>Isolated-context dispatch with tracked completion (8.6)</t>
        </is>
      </c>
      <c r="D14" s="16" t="n"/>
      <c r="E14" s="15" t="n"/>
    </row>
    <row r="15">
      <c r="A15" s="12" t="inlineStr">
        <is>
          <t>C11</t>
        </is>
      </c>
      <c r="B15" s="11" t="inlineStr">
        <is>
          <t>Sentinel described as a WSL2 cron job</t>
        </is>
      </c>
      <c r="C15" s="11" t="inlineStr">
        <is>
          <t>systemd timer; there is no WSL (9.3)</t>
        </is>
      </c>
      <c r="D15" s="16" t="n"/>
      <c r="E15" s="15" t="n"/>
    </row>
    <row r="16">
      <c r="A16" s="12" t="inlineStr">
        <is>
          <t>C12</t>
        </is>
      </c>
      <c r="B16" s="11" t="inlineStr">
        <is>
          <t>Sentinel fed to Ren</t>
        </is>
      </c>
      <c r="C16" s="11" t="inlineStr">
        <is>
          <t>Alaric and Silas under Arthur (9.3)</t>
        </is>
      </c>
      <c r="D16" s="16" t="n"/>
      <c r="E16" s="15" t="n"/>
    </row>
    <row r="17">
      <c r="A17" s="12" t="inlineStr">
        <is>
          <t>C13</t>
        </is>
      </c>
      <c r="B17" s="11" t="inlineStr">
        <is>
          <t>AEGIS described as a single zip</t>
        </is>
      </c>
      <c r="C17" s="11" t="inlineStr">
        <is>
          <t>restic (9.5)</t>
        </is>
      </c>
      <c r="D17" s="16" t="n"/>
      <c r="E17" s="15" t="n"/>
    </row>
    <row r="18">
      <c r="A18" s="12" t="inlineStr">
        <is>
          <t>C14</t>
        </is>
      </c>
      <c r="B18" s="11" t="inlineStr">
        <is>
          <t>AEGIS destination on the same drive</t>
        </is>
      </c>
      <c r="C18" s="11" t="inlineStr">
        <is>
          <t>Second drive plus optional external (9.5)</t>
        </is>
      </c>
      <c r="D18" s="16" t="n"/>
      <c r="E18" s="15" t="n"/>
    </row>
    <row r="19">
      <c r="A19" s="12" t="inlineStr">
        <is>
          <t>C15</t>
        </is>
      </c>
      <c r="B19" s="11" t="inlineStr">
        <is>
          <t>Celery framed as freeing "a background hardware thread" for a backtest that may call an LLM</t>
        </is>
      </c>
      <c r="C19" s="11" t="inlineStr">
        <is>
          <t>CPU work decouples; GPU calls still serialise (9.7)</t>
        </is>
      </c>
      <c r="D19" s="16" t="n"/>
      <c r="E19" s="15" t="n"/>
    </row>
    <row r="20">
      <c r="A20" s="12" t="inlineStr">
        <is>
          <t>C16</t>
        </is>
      </c>
      <c r="B20" s="11" t="inlineStr">
        <is>
          <t>Estate memory inside the vault versus the vault as on-demand top-secret storage</t>
        </is>
      </c>
      <c r="C20" s="11" t="inlineStr">
        <is>
          <t>Estate memory on the LUKS volume; vault content never persisted (10.5)</t>
        </is>
      </c>
      <c r="D20" s="16" t="n"/>
      <c r="E20" s="15" t="n"/>
    </row>
    <row r="21">
      <c r="A21" s="12" t="inlineStr">
        <is>
          <t>C17</t>
        </is>
      </c>
      <c r="B21" s="11" t="inlineStr">
        <is>
          <t>Four engine names that do not exist</t>
        </is>
      </c>
      <c r="C21" s="11" t="inlineStr">
        <is>
          <t>Real replacements (15.3)</t>
        </is>
      </c>
      <c r="D21" s="16" t="n"/>
      <c r="E21" s="15" t="n"/>
    </row>
    <row r="22">
      <c r="A22" s="12" t="inlineStr">
        <is>
          <t>C18</t>
        </is>
      </c>
      <c r="B22" s="11" t="inlineStr">
        <is>
          <t>"Vector Cortex replaces chat logs" versus Open WebUI's own database</t>
        </is>
      </c>
      <c r="C22" s="11" t="inlineStr">
        <is>
          <t>Supplements; retention rule under D9 (10.4)</t>
        </is>
      </c>
      <c r="D22" s="16" t="n"/>
      <c r="E22" s="15" t="n"/>
    </row>
    <row r="23">
      <c r="A23" s="12" t="inlineStr">
        <is>
          <t>C19</t>
        </is>
      </c>
      <c r="B23" s="11" t="inlineStr">
        <is>
          <t>Desktop recommended for a Linux novice, then Server chosen</t>
        </is>
      </c>
      <c r="C23" s="11" t="inlineStr">
        <is>
          <t>Server with Cockpit (3.1)</t>
        </is>
      </c>
      <c r="D23" s="16" t="n"/>
      <c r="E23" s="15" t="n"/>
    </row>
    <row r="24">
      <c r="A24" s="12" t="inlineStr">
        <is>
          <t>C20</t>
        </is>
      </c>
      <c r="B24" s="11" t="inlineStr">
        <is>
          <t>Fish Audio requested, then excluded as non-local and research-licensed</t>
        </is>
      </c>
      <c r="C24" s="11" t="inlineStr">
        <is>
          <t>Kokoro plus Chatterbox (14.1)</t>
        </is>
      </c>
      <c r="D24" s="16" t="n"/>
      <c r="E24" s="15" t="n"/>
    </row>
  </sheetData>
  <autoFilter ref="A4:E24"/>
  <conditionalFormatting sqref="D5:D24">
    <cfRule type="cellIs" priority="1" operator="equal" dxfId="0">
      <formula>"Accept"</formula>
    </cfRule>
    <cfRule type="cellIs" priority="2" operator="equal" dxfId="2">
      <formula>"Disagree - return to decisions"</formula>
    </cfRule>
  </conditionalFormatting>
  <dataValidations count="1">
    <dataValidation sqref="D5:D24" showDropDown="0" showInputMessage="0" showErrorMessage="0" allowBlank="1" errorTitle="Invalid entry" error="Pick a value from the list." promptTitle="Choose" prompt="Pick one: Accept / Disagree - return to decisions" type="list">
      <formula1>"Accept,Disagree - return to decisions"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8" customWidth="1" min="2" max="2"/>
    <col width="18" customWidth="1" min="3" max="3"/>
    <col width="22" customWidth="1" min="4" max="4"/>
    <col width="48" customWidth="1" min="5" max="5"/>
    <col width="18" customWidth="1" min="6" max="6"/>
    <col width="30" customWidth="1" min="7" max="7"/>
  </cols>
  <sheetData>
    <row r="1">
      <c r="A1" s="1" t="inlineStr">
        <is>
          <t>3 Risks</t>
        </is>
      </c>
    </row>
    <row r="2">
      <c r="A2" s="2" t="inlineStr">
        <is>
          <t>Section 20. Acknowledge each risk and its mitigation, or flag it for discussion.</t>
        </is>
      </c>
    </row>
    <row r="4">
      <c r="A4" s="10" t="inlineStr">
        <is>
          <t>ID</t>
        </is>
      </c>
      <c r="B4" s="10" t="inlineStr">
        <is>
          <t>Risk</t>
        </is>
      </c>
      <c r="C4" s="10" t="inlineStr">
        <is>
          <t>Likelihood</t>
        </is>
      </c>
      <c r="D4" s="10" t="inlineStr">
        <is>
          <t>Impact</t>
        </is>
      </c>
      <c r="E4" s="10" t="inlineStr">
        <is>
          <t>Mitigation</t>
        </is>
      </c>
      <c r="F4" s="10" t="inlineStr">
        <is>
          <t>Acknowledged</t>
        </is>
      </c>
      <c r="G4" s="10" t="inlineStr">
        <is>
          <t>Notes</t>
        </is>
      </c>
    </row>
    <row r="5">
      <c r="A5" s="12" t="inlineStr">
        <is>
          <t>R1</t>
        </is>
      </c>
      <c r="B5" s="11" t="inlineStr">
        <is>
          <t>PyTorch has no official gfx1151 wheel, the community wheel may break on update</t>
        </is>
      </c>
      <c r="C5" s="11" t="inlineStr">
        <is>
          <t>High</t>
        </is>
      </c>
      <c r="D5" s="11" t="inlineStr">
        <is>
          <t>High for Phase 4, none for the LLM layer</t>
        </is>
      </c>
      <c r="E5" s="11" t="inlineStr">
        <is>
          <t>Pin versions, per-engine pass/fail, containerised so the host is untouched</t>
        </is>
      </c>
      <c r="F5" s="16" t="n"/>
      <c r="G5" s="15" t="n"/>
    </row>
    <row r="6">
      <c r="A6" s="12" t="inlineStr">
        <is>
          <t>R2</t>
        </is>
      </c>
      <c r="B6" s="11" t="inlineStr">
        <is>
          <t>Ollama's Vulkan path immature on 26.04</t>
        </is>
      </c>
      <c r="C6" s="11" t="inlineStr">
        <is>
          <t>Medium</t>
        </is>
      </c>
      <c r="D6" s="11" t="inlineStr">
        <is>
          <t>High if chosen</t>
        </is>
      </c>
      <c r="E6" s="11" t="inlineStr">
        <is>
          <t>D1: llama-server primary</t>
        </is>
      </c>
      <c r="F6" s="16" t="n"/>
      <c r="G6" s="15" t="n"/>
    </row>
    <row r="7">
      <c r="A7" s="12" t="inlineStr">
        <is>
          <t>R3</t>
        </is>
      </c>
      <c r="B7" s="11" t="inlineStr">
        <is>
          <t>ROCm 7.2.x does not install on the 26.04 host kernel</t>
        </is>
      </c>
      <c r="C7" s="11" t="inlineStr">
        <is>
          <t>Certain</t>
        </is>
      </c>
      <c r="D7" s="11" t="inlineStr">
        <is>
          <t>Medium</t>
        </is>
      </c>
      <c r="E7" s="11" t="inlineStr">
        <is>
          <t>Never install ROCm on the host, containers only (3.4)</t>
        </is>
      </c>
      <c r="F7" s="16" t="n"/>
      <c r="G7" s="15" t="n"/>
    </row>
    <row r="8">
      <c r="A8" s="12" t="inlineStr">
        <is>
          <t>R4</t>
        </is>
      </c>
      <c r="B8" s="11" t="inlineStr">
        <is>
          <t>KV quantisation silently falls back to full precision on an unsupported architecture</t>
        </is>
      </c>
      <c r="C8" s="11" t="inlineStr">
        <is>
          <t>Medium</t>
        </is>
      </c>
      <c r="D8" s="11" t="inlineStr">
        <is>
          <t>High, unexpected OOM</t>
        </is>
      </c>
      <c r="E8" s="11" t="inlineStr">
        <is>
          <t>V4 per-model check</t>
        </is>
      </c>
      <c r="F8" s="16" t="n"/>
      <c r="G8" s="15" t="n"/>
    </row>
    <row r="9">
      <c r="A9" s="12" t="inlineStr">
        <is>
          <t>R5</t>
        </is>
      </c>
      <c r="B9" s="11" t="inlineStr">
        <is>
          <t>A second engine loads before the first releases memory, node crashes</t>
        </is>
      </c>
      <c r="C9" s="11" t="inlineStr">
        <is>
          <t>Medium without an arbiter</t>
        </is>
      </c>
      <c r="D9" s="11" t="inlineStr">
        <is>
          <t>High</t>
        </is>
      </c>
      <c r="E9" s="11" t="inlineStr">
        <is>
          <t>Engine Arbiter polls GPU memory before every load (4.2)</t>
        </is>
      </c>
      <c r="F9" s="16" t="n"/>
      <c r="G9" s="15" t="n"/>
    </row>
    <row r="10">
      <c r="A10" s="12" t="inlineStr">
        <is>
          <t>R6</t>
        </is>
      </c>
      <c r="B10" s="11" t="inlineStr">
        <is>
          <t>GraphRAG indexing is LLM-heavy and slow here</t>
        </is>
      </c>
      <c r="C10" s="11" t="inlineStr">
        <is>
          <t>High</t>
        </is>
      </c>
      <c r="D10" s="11" t="inlineStr">
        <is>
          <t>Medium</t>
        </is>
      </c>
      <c r="E10" s="11" t="inlineStr">
        <is>
          <t>Idle-time Celery job on the resident small model, D7 LightRAG</t>
        </is>
      </c>
      <c r="F10" s="16" t="n"/>
      <c r="G10" s="15" t="n"/>
    </row>
    <row r="11">
      <c r="A11" s="12" t="inlineStr">
        <is>
          <t>R7</t>
        </is>
      </c>
      <c r="B11" s="11" t="inlineStr">
        <is>
          <t>Cloudflare token in a plain-text file</t>
        </is>
      </c>
      <c r="C11" s="11" t="inlineStr">
        <is>
          <t>Certain today</t>
        </is>
      </c>
      <c r="D11" s="11" t="inlineStr">
        <is>
          <t>High</t>
        </is>
      </c>
      <c r="E11" s="11" t="inlineStr">
        <is>
          <t>Scoped token, mode 600, outside backups and repo (12.3)</t>
        </is>
      </c>
      <c r="F11" s="16" t="n"/>
      <c r="G11" s="15" t="n"/>
    </row>
    <row r="12">
      <c r="A12" s="12" t="inlineStr">
        <is>
          <t>R8</t>
        </is>
      </c>
      <c r="B12" s="11" t="inlineStr">
        <is>
          <t>Open WebUI phones home by default</t>
        </is>
      </c>
      <c r="C12" s="11" t="inlineStr">
        <is>
          <t>Certain unless hardened</t>
        </is>
      </c>
      <c r="D12" s="11" t="inlineStr">
        <is>
          <t>High for the zero-cloud rule</t>
        </is>
      </c>
      <c r="E12" s="11" t="inlineStr">
        <is>
          <t>Offline hardening in Phase 2 (12.1)</t>
        </is>
      </c>
      <c r="F12" s="16" t="n"/>
      <c r="G12" s="15" t="n"/>
    </row>
    <row r="13">
      <c r="A13" s="12" t="inlineStr">
        <is>
          <t>R9</t>
        </is>
      </c>
      <c r="B13" s="11" t="inlineStr">
        <is>
          <t>RTL8127 10GbE driver missing on the 26.04 kernel</t>
        </is>
      </c>
      <c r="C13" s="11" t="inlineStr">
        <is>
          <t>Low to medium</t>
        </is>
      </c>
      <c r="D13" s="11" t="inlineStr">
        <is>
          <t>Medium</t>
        </is>
      </c>
      <c r="E13" s="11" t="inlineStr">
        <is>
          <t>V1, fall back to the second port or a USB adapter</t>
        </is>
      </c>
      <c r="F13" s="16" t="n"/>
      <c r="G13" s="15" t="n"/>
    </row>
    <row r="14">
      <c r="A14" s="12" t="inlineStr">
        <is>
          <t>R10</t>
        </is>
      </c>
      <c r="B14" s="11" t="inlineStr">
        <is>
          <t>Sustained thermal load in a small chassis</t>
        </is>
      </c>
      <c r="C14" s="11" t="inlineStr">
        <is>
          <t>Medium</t>
        </is>
      </c>
      <c r="D14" s="11" t="inlineStr">
        <is>
          <t>Low</t>
        </is>
      </c>
      <c r="E14" s="11" t="inlineStr">
        <is>
          <t>Monitor temperatures in Cockpit, the 130 W sustained rating is desktop-class</t>
        </is>
      </c>
      <c r="F14" s="16" t="n"/>
      <c r="G14" s="15" t="n"/>
    </row>
    <row r="15">
      <c r="A15" s="12" t="inlineStr">
        <is>
          <t>R11</t>
        </is>
      </c>
      <c r="B15" s="11" t="inlineStr">
        <is>
          <t>CGNAT prevents inbound WireGuard</t>
        </is>
      </c>
      <c r="C15" s="11" t="inlineStr">
        <is>
          <t>Low, port forward already succeeded</t>
        </is>
      </c>
      <c r="D15" s="11" t="inlineStr">
        <is>
          <t>High for remote access</t>
        </is>
      </c>
      <c r="E15" s="11" t="inlineStr">
        <is>
          <t>V5 from mobile data, static IP from the ISP if needed</t>
        </is>
      </c>
      <c r="F15" s="16" t="n"/>
      <c r="G15" s="15" t="n"/>
    </row>
    <row r="16">
      <c r="A16" s="12" t="inlineStr">
        <is>
          <t>R12</t>
        </is>
      </c>
      <c r="B16" s="11" t="inlineStr">
        <is>
          <t>Fictitious directors corresponding as humans, AI non-disclosure</t>
        </is>
      </c>
      <c r="C16" s="11" t="inlineStr">
        <is>
          <t>Medium</t>
        </is>
      </c>
      <c r="D16" s="11" t="inlineStr">
        <is>
          <t>Medium to high, legal</t>
        </is>
      </c>
      <c r="E16" s="11" t="inlineStr">
        <is>
          <t>Gideon's sensitive-tier check, approval gate, 16.5</t>
        </is>
      </c>
      <c r="F16" s="16" t="n"/>
      <c r="G16" s="15" t="n"/>
    </row>
    <row r="17">
      <c r="A17" s="12" t="inlineStr">
        <is>
          <t>R13</t>
        </is>
      </c>
      <c r="B17" s="11" t="inlineStr">
        <is>
          <t>Abliterated engine used for external output</t>
        </is>
      </c>
      <c r="C17" s="11" t="inlineStr">
        <is>
          <t>Medium</t>
        </is>
      </c>
      <c r="D17" s="11" t="inlineStr">
        <is>
          <t>Medium</t>
        </is>
      </c>
      <c r="E17" s="11" t="inlineStr">
        <is>
          <t>Abliterated output always passes the same gate, never routine tier</t>
        </is>
      </c>
      <c r="F17" s="16" t="n"/>
      <c r="G17" s="15" t="n"/>
    </row>
    <row r="18">
      <c r="A18" s="12" t="inlineStr">
        <is>
          <t>R14</t>
        </is>
      </c>
      <c r="B18" s="11" t="inlineStr">
        <is>
          <t>Chatterbox continuation quirk in production speech</t>
        </is>
      </c>
      <c r="C18" s="11" t="inlineStr">
        <is>
          <t>Medium</t>
        </is>
      </c>
      <c r="D18" s="11" t="inlineStr">
        <is>
          <t>Low</t>
        </is>
      </c>
      <c r="E18" s="11" t="inlineStr">
        <is>
          <t>V7 testing, Kokoro fallback per line</t>
        </is>
      </c>
      <c r="F18" s="16" t="n"/>
      <c r="G18" s="15" t="n"/>
    </row>
    <row r="19">
      <c r="A19" s="12" t="inlineStr">
        <is>
          <t>R15</t>
        </is>
      </c>
      <c r="B19" s="11" t="inlineStr">
        <is>
          <t>Prompt bloat from domain injection makes every dispatch slow</t>
        </is>
      </c>
      <c r="C19" s="11" t="inlineStr">
        <is>
          <t>High without limits</t>
        </is>
      </c>
      <c r="D19" s="11" t="inlineStr">
        <is>
          <t>High, usability</t>
        </is>
      </c>
      <c r="E19" s="11" t="inlineStr">
        <is>
          <t>Three-card limit, compact cards, stable-prefix ordering (8.4, 4.4)</t>
        </is>
      </c>
      <c r="F19" s="16" t="n"/>
      <c r="G19" s="15" t="n"/>
    </row>
    <row r="20">
      <c r="A20" s="12" t="inlineStr">
        <is>
          <t>R16</t>
        </is>
      </c>
      <c r="B20" s="11" t="inlineStr">
        <is>
          <t>Backup passphrase or LUKS key lost with the node</t>
        </is>
      </c>
      <c r="C20" s="11" t="inlineStr">
        <is>
          <t>Low</t>
        </is>
      </c>
      <c r="D20" s="11" t="inlineStr">
        <is>
          <t>Catastrophic</t>
        </is>
      </c>
      <c r="E20" s="11" t="inlineStr">
        <is>
          <t>D3, off-node storage, quarterly restore test</t>
        </is>
      </c>
      <c r="F20" s="16" t="n"/>
      <c r="G20" s="15" t="n"/>
    </row>
    <row r="21">
      <c r="A21" s="12" t="inlineStr">
        <is>
          <t>R17</t>
        </is>
      </c>
      <c r="B21" s="11" t="inlineStr">
        <is>
          <t>PyAnnote gated model not accepted, diarisation silently absent</t>
        </is>
      </c>
      <c r="C21" s="11" t="inlineStr">
        <is>
          <t>Medium</t>
        </is>
      </c>
      <c r="D21" s="11" t="inlineStr">
        <is>
          <t>Low</t>
        </is>
      </c>
      <c r="E21" s="11" t="inlineStr">
        <is>
          <t>V6</t>
        </is>
      </c>
      <c r="F21" s="16" t="n"/>
      <c r="G21" s="15" t="n"/>
    </row>
    <row r="22">
      <c r="A22" s="12" t="inlineStr">
        <is>
          <t>R18</t>
        </is>
      </c>
      <c r="B22" s="11" t="inlineStr">
        <is>
          <t>Continuous vision enabled by drift rather than decision</t>
        </is>
      </c>
      <c r="C22" s="11" t="inlineStr">
        <is>
          <t>Low</t>
        </is>
      </c>
      <c r="D22" s="11" t="inlineStr">
        <is>
          <t>High, privacy</t>
        </is>
      </c>
      <c r="E22" s="11" t="inlineStr">
        <is>
          <t>Separate capability flag under Alaric, logged, D8 item 7</t>
        </is>
      </c>
      <c r="F22" s="16" t="n"/>
      <c r="G22" s="15" t="n"/>
    </row>
  </sheetData>
  <autoFilter ref="A4:G22"/>
  <conditionalFormatting sqref="F5:F22">
    <cfRule type="cellIs" priority="1" operator="equal" dxfId="0">
      <formula>"Yes"</formula>
    </cfRule>
    <cfRule type="cellIs" priority="2" operator="equal" dxfId="1">
      <formula>"Discuss"</formula>
    </cfRule>
  </conditionalFormatting>
  <dataValidations count="1">
    <dataValidation sqref="F5:F22" showDropDown="0" showInputMessage="0" showErrorMessage="0" allowBlank="1" errorTitle="Invalid entry" error="Pick a value from the list." promptTitle="Choose" prompt="Pick one: Yes / Discuss" type="list">
      <formula1>"Yes,Discuss"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0" customWidth="1" min="2" max="2"/>
    <col width="20" customWidth="1" min="3" max="3"/>
    <col width="16" customWidth="1" min="4" max="4"/>
    <col width="40" customWidth="1" min="5" max="5"/>
  </cols>
  <sheetData>
    <row r="1">
      <c r="A1" s="1" t="inlineStr">
        <is>
          <t>4 Verification</t>
        </is>
      </c>
    </row>
    <row r="2">
      <c r="A2" s="2" t="inlineStr">
        <is>
          <t>Section 21. Filled in during Day 1 as each phase gate runs. Nothing is trusted until its row reads Pass.</t>
        </is>
      </c>
    </row>
    <row r="4">
      <c r="A4" s="10" t="inlineStr">
        <is>
          <t>ID</t>
        </is>
      </c>
      <c r="B4" s="10" t="inlineStr">
        <is>
          <t>What Day 1 must prove</t>
        </is>
      </c>
      <c r="C4" s="10" t="inlineStr">
        <is>
          <t>Where</t>
        </is>
      </c>
      <c r="D4" s="10" t="inlineStr">
        <is>
          <t>Result</t>
        </is>
      </c>
      <c r="E4" s="10" t="inlineStr">
        <is>
          <t>Evidence or notes</t>
        </is>
      </c>
    </row>
    <row r="5">
      <c r="A5" s="12" t="inlineStr">
        <is>
          <t>V1</t>
        </is>
      </c>
      <c r="B5" s="11" t="inlineStr">
        <is>
          <t>RTL8127 10GbE link up on the 26.04 kernel</t>
        </is>
      </c>
      <c r="C5" s="11" t="inlineStr">
        <is>
          <t>Phase 1 pre-flight</t>
        </is>
      </c>
      <c r="D5" s="16" t="inlineStr">
        <is>
          <t>Not yet run</t>
        </is>
      </c>
      <c r="E5" s="15" t="n"/>
    </row>
    <row r="6">
      <c r="A6" s="12" t="inlineStr">
        <is>
          <t>V2</t>
        </is>
      </c>
      <c r="B6" s="11" t="inlineStr">
        <is>
          <t>fTPM present and enabled, TPM2 enrolment succeeds</t>
        </is>
      </c>
      <c r="C6" s="11" t="inlineStr">
        <is>
          <t>Phase 1 step 2</t>
        </is>
      </c>
      <c r="D6" s="16" t="inlineStr">
        <is>
          <t>Not yet run</t>
        </is>
      </c>
      <c r="E6" s="15" t="n"/>
    </row>
    <row r="7">
      <c r="A7" s="12" t="inlineStr">
        <is>
          <t>V3</t>
        </is>
      </c>
      <c r="B7" s="11" t="inlineStr">
        <is>
          <t>Kernel parameters accepted on 7.0, GPU reports the expected memory budget</t>
        </is>
      </c>
      <c r="C7" s="11" t="inlineStr">
        <is>
          <t>Phase 1 post-reboot</t>
        </is>
      </c>
      <c r="D7" s="16" t="inlineStr">
        <is>
          <t>Not yet run</t>
        </is>
      </c>
      <c r="E7" s="15" t="n"/>
    </row>
    <row r="8">
      <c r="A8" s="12" t="inlineStr">
        <is>
          <t>V4</t>
        </is>
      </c>
      <c r="B8" s="11" t="inlineStr">
        <is>
          <t>Quantised KV cache actually applied per model, no silent fallback</t>
        </is>
      </c>
      <c r="C8" s="11" t="inlineStr">
        <is>
          <t>Phase 3 step 2</t>
        </is>
      </c>
      <c r="D8" s="16" t="inlineStr">
        <is>
          <t>Not yet run</t>
        </is>
      </c>
      <c r="E8" s="15" t="n"/>
    </row>
    <row r="9">
      <c r="A9" s="12" t="inlineStr">
        <is>
          <t>V5</t>
        </is>
      </c>
      <c r="B9" s="11" t="inlineStr">
        <is>
          <t>WireGuard reachable from mobile data via vpn.sovereign-node.link</t>
        </is>
      </c>
      <c r="C9" s="11" t="inlineStr">
        <is>
          <t>Phase 1 step 7</t>
        </is>
      </c>
      <c r="D9" s="16" t="inlineStr">
        <is>
          <t>Not yet run</t>
        </is>
      </c>
      <c r="E9" s="15" t="n"/>
    </row>
    <row r="10">
      <c r="A10" s="12" t="inlineStr">
        <is>
          <t>V6</t>
        </is>
      </c>
      <c r="B10" s="11" t="inlineStr">
        <is>
          <t>PyAnnote 3.1 gated model accepted and loading</t>
        </is>
      </c>
      <c r="C10" s="11" t="inlineStr">
        <is>
          <t>Phase 2 step 5</t>
        </is>
      </c>
      <c r="D10" s="16" t="inlineStr">
        <is>
          <t>Not yet run</t>
        </is>
      </c>
      <c r="E10" s="15" t="n"/>
    </row>
    <row r="11">
      <c r="A11" s="12" t="inlineStr">
        <is>
          <t>V7</t>
        </is>
      </c>
      <c r="B11" s="11" t="inlineStr">
        <is>
          <t>Voice casting listening test, Alaric and Gideon clones sourced</t>
        </is>
      </c>
      <c r="C11" s="11" t="inlineStr">
        <is>
          <t>Phase 2 gate</t>
        </is>
      </c>
      <c r="D11" s="16" t="inlineStr">
        <is>
          <t>Not yet run</t>
        </is>
      </c>
      <c r="E11" s="15" t="n"/>
    </row>
    <row r="12">
      <c r="A12" s="12" t="inlineStr">
        <is>
          <t>V8</t>
        </is>
      </c>
      <c r="B12" s="11" t="inlineStr">
        <is>
          <t>PointLLM builds and runs on ROCm in the container</t>
        </is>
      </c>
      <c r="C12" s="11" t="inlineStr">
        <is>
          <t>Phase 4 step 4</t>
        </is>
      </c>
      <c r="D12" s="16" t="inlineStr">
        <is>
          <t>Not yet run</t>
        </is>
      </c>
      <c r="E12" s="15" t="n"/>
    </row>
    <row r="13">
      <c r="A13" s="12" t="inlineStr">
        <is>
          <t>V9</t>
        </is>
      </c>
      <c r="B13" s="11" t="inlineStr">
        <is>
          <t>Clay or Prithvi builds and runs</t>
        </is>
      </c>
      <c r="C13" s="11" t="inlineStr">
        <is>
          <t>Phase 4 step 4</t>
        </is>
      </c>
      <c r="D13" s="16" t="inlineStr">
        <is>
          <t>Not yet run</t>
        </is>
      </c>
      <c r="E13" s="15" t="n"/>
    </row>
    <row r="14">
      <c r="A14" s="12" t="inlineStr">
        <is>
          <t>V10</t>
        </is>
      </c>
      <c r="B14" s="11" t="inlineStr">
        <is>
          <t>All four core LLMs load, generate, swap, and release memory, measured tok/s within the expected bands</t>
        </is>
      </c>
      <c r="C14" s="11" t="inlineStr">
        <is>
          <t>Phase 3 gate</t>
        </is>
      </c>
      <c r="D14" s="16" t="inlineStr">
        <is>
          <t>Not yet run</t>
        </is>
      </c>
      <c r="E14" s="15" t="n"/>
    </row>
    <row r="15">
      <c r="A15" s="12" t="inlineStr">
        <is>
          <t>V11</t>
        </is>
      </c>
      <c r="B15" s="11" t="inlineStr">
        <is>
          <t>Community PyTorch ROCm wheel passes tensor, matmul, and diffusion self-tests in the container</t>
        </is>
      </c>
      <c r="C15" s="11" t="inlineStr">
        <is>
          <t>Phase 4 step 1</t>
        </is>
      </c>
      <c r="D15" s="16" t="inlineStr">
        <is>
          <t>Not yet run</t>
        </is>
      </c>
      <c r="E15" s="15" t="n"/>
    </row>
    <row r="16">
      <c r="A16" s="12" t="inlineStr">
        <is>
          <t>V12</t>
        </is>
      </c>
      <c r="B16" s="11" t="inlineStr">
        <is>
          <t>Open WebUI makes no outbound connection after hardening (verified with the firewall log)</t>
        </is>
      </c>
      <c r="C16" s="11" t="inlineStr">
        <is>
          <t>Phase 2 step 3</t>
        </is>
      </c>
      <c r="D16" s="16" t="inlineStr">
        <is>
          <t>Not yet run</t>
        </is>
      </c>
      <c r="E16" s="15" t="n"/>
    </row>
    <row r="17">
      <c r="A17" s="12" t="inlineStr">
        <is>
          <t>V13</t>
        </is>
      </c>
      <c r="B17" s="11" t="inlineStr">
        <is>
          <t>restic backup completes and a restore verifies by checksum</t>
        </is>
      </c>
      <c r="C17" s="11" t="inlineStr">
        <is>
          <t>Phase 2 step 7</t>
        </is>
      </c>
      <c r="D17" s="16" t="inlineStr">
        <is>
          <t>Not yet run</t>
        </is>
      </c>
      <c r="E17" s="15" t="n"/>
    </row>
    <row r="18">
      <c r="A18" s="12" t="inlineStr">
        <is>
          <t>V14</t>
        </is>
      </c>
      <c r="B18" s="11" t="inlineStr">
        <is>
          <t>Engine Arbiter refuses a second large load while one is resident, and downgrades a Deep Think depth when the projected footprint exceeds budget</t>
        </is>
      </c>
      <c r="C18" s="11" t="inlineStr">
        <is>
          <t>Phase 2 gate</t>
        </is>
      </c>
      <c r="D18" s="16" t="inlineStr">
        <is>
          <t>Not yet run</t>
        </is>
      </c>
      <c r="E18" s="15" t="n"/>
    </row>
    <row r="19">
      <c r="A19" s="12" t="inlineStr">
        <is>
          <t>V15</t>
        </is>
      </c>
      <c r="B19" s="11" t="inlineStr">
        <is>
          <t>Approval gate holds a standard-tier email until approved, routine-tier auto-sends and logs</t>
        </is>
      </c>
      <c r="C19" s="11" t="inlineStr">
        <is>
          <t>Phase 2 gate</t>
        </is>
      </c>
      <c r="D19" s="16" t="inlineStr">
        <is>
          <t>Not yet run</t>
        </is>
      </c>
      <c r="E19" s="15" t="n"/>
    </row>
    <row r="20">
      <c r="A20" s="12" t="inlineStr">
        <is>
          <t>V16</t>
        </is>
      </c>
      <c r="B20" s="11" t="inlineStr">
        <is>
          <t>Router hard rule routes a "medical" message to Arthur even when the classifier disagrees, decision logged</t>
        </is>
      </c>
      <c r="C20" s="11" t="inlineStr">
        <is>
          <t>Phase 2 gate</t>
        </is>
      </c>
      <c r="D20" s="16" t="inlineStr">
        <is>
          <t>Not yet run</t>
        </is>
      </c>
      <c r="E20" s="15" t="n"/>
    </row>
    <row r="21">
      <c r="A21" s="12" t="inlineStr">
        <is>
          <t>V17</t>
        </is>
      </c>
      <c r="B21" s="11" t="inlineStr">
        <is>
          <t>Sandbox memory cap kills a runaway process without affecting the node</t>
        </is>
      </c>
      <c r="C21" s="11" t="inlineStr">
        <is>
          <t>Phase 2 gate</t>
        </is>
      </c>
      <c r="D21" s="16" t="inlineStr">
        <is>
          <t>Not yet run</t>
        </is>
      </c>
      <c r="E21" s="15" t="n"/>
    </row>
    <row r="22">
      <c r="A22" s="12" t="inlineStr">
        <is>
          <t>V18</t>
        </is>
      </c>
      <c r="B22" s="11" t="inlineStr">
        <is>
          <t>Vault opens by button, locks on idle, vault-tagged content absent from memory collections afterwards</t>
        </is>
      </c>
      <c r="C22" s="11" t="inlineStr">
        <is>
          <t>Phase 2 gate</t>
        </is>
      </c>
      <c r="D22" s="16" t="inlineStr">
        <is>
          <t>Not yet run</t>
        </is>
      </c>
      <c r="E22" s="15" t="n"/>
    </row>
  </sheetData>
  <autoFilter ref="A4:E22"/>
  <conditionalFormatting sqref="D5:D22">
    <cfRule type="cellIs" priority="1" operator="equal" dxfId="0">
      <formula>"Pass"</formula>
    </cfRule>
    <cfRule type="cellIs" priority="2" operator="equal" dxfId="1">
      <formula>"Deferred"</formula>
    </cfRule>
    <cfRule type="cellIs" priority="3" operator="equal" dxfId="1">
      <formula>"Not yet run"</formula>
    </cfRule>
    <cfRule type="cellIs" priority="4" operator="equal" dxfId="2">
      <formula>"Fail"</formula>
    </cfRule>
  </conditionalFormatting>
  <dataValidations count="1">
    <dataValidation sqref="D5:D22" showDropDown="0" showInputMessage="0" showErrorMessage="0" allowBlank="1" errorTitle="Invalid entry" error="Pick a value from the list." promptTitle="Choose" prompt="Pick one: Pass / Fail / Deferred / Not yet run" type="list">
      <formula1>"Pass,Fail,Deferred,Not yet run"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2" customWidth="1" min="4" max="4"/>
    <col width="36" customWidth="1" min="5" max="5"/>
  </cols>
  <sheetData>
    <row r="1">
      <c r="A1" s="1" t="inlineStr">
        <is>
          <t>5 Checklist</t>
        </is>
      </c>
    </row>
    <row r="2">
      <c r="A2" s="2" t="inlineStr">
        <is>
          <t>Section 22. Nothing runs until every row reads Yes or N/A.</t>
        </is>
      </c>
    </row>
    <row r="4">
      <c r="A4" s="10" t="inlineStr">
        <is>
          <t>#</t>
        </is>
      </c>
      <c r="B4" s="10" t="inlineStr">
        <is>
          <t>Group</t>
        </is>
      </c>
      <c r="C4" s="10" t="inlineStr">
        <is>
          <t>Item</t>
        </is>
      </c>
      <c r="D4" s="10" t="inlineStr">
        <is>
          <t>Done</t>
        </is>
      </c>
      <c r="E4" s="10" t="inlineStr">
        <is>
          <t>Notes</t>
        </is>
      </c>
    </row>
    <row r="5">
      <c r="A5" s="12" t="n">
        <v>1</v>
      </c>
      <c r="B5" s="11" t="inlineStr">
        <is>
          <t>Principal's actions</t>
        </is>
      </c>
      <c r="C5" s="11" t="inlineStr">
        <is>
          <t>Answer D1 through D14, or accept the recommendations as written.</t>
        </is>
      </c>
      <c r="D5" s="16" t="n"/>
      <c r="E5" s="15" t="n"/>
    </row>
    <row r="6">
      <c r="A6" s="12" t="n">
        <v>2</v>
      </c>
      <c r="B6" s="11" t="inlineStr">
        <is>
          <t>Principal's actions</t>
        </is>
      </c>
      <c r="C6" s="11" t="inlineStr">
        <is>
          <t>Relocate the Cloudflare token per 12.3 and delete CLOUDFLARE.txt.</t>
        </is>
      </c>
      <c r="D6" s="16" t="n"/>
      <c r="E6" s="15" t="n"/>
    </row>
    <row r="7">
      <c r="A7" s="12" t="n">
        <v>3</v>
      </c>
      <c r="B7" s="11" t="inlineStr">
        <is>
          <t>Principal's actions</t>
        </is>
      </c>
      <c r="C7" s="11" t="inlineStr">
        <is>
          <t>Decide where the LUKS recovery key and restic passphrase will live off-node (D3).</t>
        </is>
      </c>
      <c r="D7" s="16" t="n"/>
      <c r="E7" s="15" t="n"/>
    </row>
    <row r="8">
      <c r="A8" s="12" t="n">
        <v>4</v>
      </c>
      <c r="B8" s="11" t="inlineStr">
        <is>
          <t>Principal's actions</t>
        </is>
      </c>
      <c r="C8" s="11" t="inlineStr">
        <is>
          <t>Create the Google Cloud OAuth client for Gmail, Calendar, and Drive; be available for the one-time browser authorisations during Phase 2.</t>
        </is>
      </c>
      <c r="D8" s="16" t="n"/>
      <c r="E8" s="15" t="n"/>
    </row>
    <row r="9">
      <c r="A9" s="12" t="n">
        <v>5</v>
      </c>
      <c r="B9" s="11" t="inlineStr">
        <is>
          <t>Principal's actions</t>
        </is>
      </c>
      <c r="C9" s="11" t="inlineStr">
        <is>
          <t>Confirm the Sentinel feed list (D6).</t>
        </is>
      </c>
      <c r="D9" s="16" t="n"/>
      <c r="E9" s="15" t="n"/>
    </row>
    <row r="10">
      <c r="A10" s="12" t="n">
        <v>6</v>
      </c>
      <c r="B10" s="11" t="inlineStr">
        <is>
          <t>Principal's actions</t>
        </is>
      </c>
      <c r="C10" s="11" t="inlineStr">
        <is>
          <t>Confirm which mailboxes or aliases directors will send from (D14).</t>
        </is>
      </c>
      <c r="D10" s="16" t="n"/>
      <c r="E10" s="15" t="n"/>
    </row>
    <row r="11">
      <c r="A11" s="12" t="n">
        <v>7</v>
      </c>
      <c r="B11" s="11" t="inlineStr">
        <is>
          <t>Principal's actions</t>
        </is>
      </c>
      <c r="C11" s="11" t="inlineStr">
        <is>
          <t>Source reference recordings for Alaric's and, if needed, Gideon's cloned voices.</t>
        </is>
      </c>
      <c r="D11" s="16" t="n"/>
      <c r="E11" s="15" t="n"/>
    </row>
    <row r="12">
      <c r="A12" s="12" t="n">
        <v>8</v>
      </c>
      <c r="B12" s="11" t="inlineStr">
        <is>
          <t>Principal's actions</t>
        </is>
      </c>
      <c r="C12" s="11" t="inlineStr">
        <is>
          <t>Confirm whether a Mac exists for iOS builds (D11).</t>
        </is>
      </c>
      <c r="D12" s="16" t="n"/>
      <c r="E12" s="15" t="n"/>
    </row>
    <row r="13">
      <c r="A13" s="12" t="n">
        <v>9</v>
      </c>
      <c r="B13" s="11" t="inlineStr">
        <is>
          <t>Principal's actions</t>
        </is>
      </c>
      <c r="C13" s="11" t="inlineStr">
        <is>
          <t>Have a monitor and keyboard available for Phase 1 only, in case first boot needs a hand.</t>
        </is>
      </c>
      <c r="D13" s="16" t="n"/>
      <c r="E13" s="15" t="n"/>
    </row>
    <row r="14">
      <c r="A14" s="12" t="n">
        <v>10</v>
      </c>
      <c r="B14" s="11" t="inlineStr">
        <is>
          <t>Build-side preconditions</t>
        </is>
      </c>
      <c r="C14" s="11" t="inlineStr">
        <is>
          <t>Ubuntu 26.04 Server installed on the 4 TB drive; 8 TB drive unpartitioned.</t>
        </is>
      </c>
      <c r="D14" s="16" t="n"/>
      <c r="E14" s="15" t="n"/>
    </row>
    <row r="15">
      <c r="A15" s="12" t="n">
        <v>11</v>
      </c>
      <c r="B15" s="11" t="inlineStr">
        <is>
          <t>Build-side preconditions</t>
        </is>
      </c>
      <c r="C15" s="11" t="inlineStr">
        <is>
          <t>BIOS: UMA minimum, IOMMU on, fTPM on, Secure Boot per D2.</t>
        </is>
      </c>
      <c r="D15" s="16" t="n"/>
      <c r="E15" s="15" t="n"/>
    </row>
    <row r="16">
      <c r="A16" s="12" t="n">
        <v>12</v>
      </c>
      <c r="B16" s="11" t="inlineStr">
        <is>
          <t>Build-side preconditions</t>
        </is>
      </c>
      <c r="C16" s="11" t="inlineStr">
        <is>
          <t>LAN address reserved for the node on the router; UDP 51820 forward confirmed to that address.</t>
        </is>
      </c>
      <c r="D16" s="16" t="n"/>
      <c r="E16" s="15" t="n"/>
    </row>
    <row r="17">
      <c r="A17" s="12" t="n">
        <v>13</v>
      </c>
      <c r="B17" s="11" t="inlineStr">
        <is>
          <t>Build-side preconditions</t>
        </is>
      </c>
      <c r="C17" s="11" t="inlineStr">
        <is>
          <t>Internet bandwidth known, so Phase 3 and 4 durations can be planned.</t>
        </is>
      </c>
      <c r="D17" s="16" t="n"/>
      <c r="E17" s="15" t="n"/>
    </row>
    <row r="18">
      <c r="A18" s="12" t="n">
        <v>14</v>
      </c>
      <c r="B18" s="11" t="inlineStr">
        <is>
          <t>Accepted resolutions</t>
        </is>
      </c>
      <c r="C18" s="11" t="inlineStr">
        <is>
          <t>C1 through C20 in Section 18 are accepted; where the Principal disagrees, the item returns to the decision list.</t>
        </is>
      </c>
      <c r="D18" s="16" t="n"/>
      <c r="E18" s="15" t="n"/>
    </row>
  </sheetData>
  <autoFilter ref="A4:E18"/>
  <conditionalFormatting sqref="D5:D18">
    <cfRule type="cellIs" priority="1" operator="equal" dxfId="0">
      <formula>"Yes"</formula>
    </cfRule>
    <cfRule type="cellIs" priority="2" operator="equal" dxfId="0">
      <formula>"N/A"</formula>
    </cfRule>
    <cfRule type="cellIs" priority="3" operator="equal" dxfId="2">
      <formula>"No"</formula>
    </cfRule>
  </conditionalFormatting>
  <dataValidations count="1">
    <dataValidation sqref="D5:D18" showDropDown="0" showInputMessage="0" showErrorMessage="0" allowBlank="1" errorTitle="Invalid entry" error="Pick a value from the list." promptTitle="Choose" prompt="Pick one: Yes / No / N/A" type="list">
      <formula1>"Yes,No,N/A"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34" customWidth="1" min="4" max="4"/>
    <col width="30" customWidth="1" min="5" max="5"/>
    <col width="20" customWidth="1" min="6" max="6"/>
  </cols>
  <sheetData>
    <row r="1">
      <c r="A1" s="1" t="inlineStr">
        <is>
          <t>Ref Engines</t>
        </is>
      </c>
    </row>
    <row r="2">
      <c r="A2" s="2" t="inlineStr">
        <is>
          <t>Sections 5.1, 6.1, 6.2. Engines, hemispheres, and the final persona-to-engine map.</t>
        </is>
      </c>
    </row>
    <row r="4">
      <c r="A4" s="3" t="inlineStr">
        <is>
          <t>Four core engines (one resident at a time)</t>
        </is>
      </c>
    </row>
    <row r="5">
      <c r="A5" s="10" t="inlineStr">
        <is>
          <t>Engine</t>
        </is>
      </c>
      <c r="B5" s="10" t="inlineStr">
        <is>
          <t>Architecture</t>
        </is>
      </c>
      <c r="C5" s="10" t="inlineStr">
        <is>
          <t>Disk, 4-bit</t>
        </is>
      </c>
      <c r="D5" s="10" t="inlineStr">
        <is>
          <t>Decode</t>
        </is>
      </c>
      <c r="E5" s="10" t="inlineStr">
        <is>
          <t>Role</t>
        </is>
      </c>
    </row>
    <row r="6">
      <c r="A6" s="11" t="inlineStr">
        <is>
          <t>gpt-oss-120b</t>
        </is>
      </c>
      <c r="B6" s="11" t="inlineStr">
        <is>
          <t>117B MoE, 5.1B active, MXFP4</t>
        </is>
      </c>
      <c r="C6" s="11" t="inlineStr">
        <is>
          <t>63 GB</t>
        </is>
      </c>
      <c r="D6" s="11" t="inlineStr">
        <is>
          <t>30–55 tok/s</t>
        </is>
      </c>
      <c r="E6" s="11" t="inlineStr">
        <is>
          <t>Default resident engine. Ren, Helena, Victor, Gideon, Minerva</t>
        </is>
      </c>
    </row>
    <row r="7">
      <c r="A7" s="11" t="inlineStr">
        <is>
          <t>gpt-oss-120b abliterated (Huihui, MXFP4 GGUF)</t>
        </is>
      </c>
      <c r="B7" s="11" t="inlineStr">
        <is>
          <t>Same weights, refusals removed</t>
        </is>
      </c>
      <c r="C7" s="11" t="inlineStr">
        <is>
          <t>63 GB</t>
        </is>
      </c>
      <c r="D7" s="11" t="inlineStr">
        <is>
          <t>Same</t>
        </is>
      </c>
      <c r="E7" s="11" t="inlineStr">
        <is>
          <t>Valerie default; Ren on override</t>
        </is>
      </c>
    </row>
    <row r="8">
      <c r="A8" s="11" t="inlineStr">
        <is>
          <t>Nemotron 3 Super</t>
        </is>
      </c>
      <c r="B8" s="11" t="inlineStr">
        <is>
          <t>120B hybrid Mamba MoE, 12.7B active</t>
        </is>
      </c>
      <c r="C8" s="11" t="inlineStr">
        <is>
          <t>65–70 GB</t>
        </is>
      </c>
      <c r="D8" s="11" t="inlineStr">
        <is>
          <t>~18 tok/s</t>
        </is>
      </c>
      <c r="E8" s="11" t="inlineStr">
        <is>
          <t>Arthur default. Silas, Alaric</t>
        </is>
      </c>
    </row>
    <row r="9">
      <c r="A9" s="11" t="inlineStr">
        <is>
          <t>Qwen3.5-122B-A10B</t>
        </is>
      </c>
      <c r="B9" s="11" t="inlineStr">
        <is>
          <t>122B MoE, 10B active, vision-capable, 256k context, multilingual</t>
        </is>
      </c>
      <c r="C9" s="11" t="inlineStr">
        <is>
          <t>65–70 GB</t>
        </is>
      </c>
      <c r="D9" s="11" t="inlineStr">
        <is>
          <t>18–19 tok/s</t>
        </is>
      </c>
      <c r="E9" s="11" t="inlineStr">
        <is>
          <t>Override engine for long documents, images, drawings, future languages</t>
        </is>
      </c>
    </row>
    <row r="11">
      <c r="A11" s="3" t="inlineStr">
        <is>
          <t>The two hemispheres</t>
        </is>
      </c>
    </row>
    <row r="12">
      <c r="A12" s="10" t="inlineStr"/>
      <c r="B12" s="10" t="inlineStr">
        <is>
          <t>Ren Ackerman — Vanguard, Prime Director</t>
        </is>
      </c>
      <c r="C12" s="10" t="inlineStr">
        <is>
          <t>Arthur Sterling — Architect, Estate Manager</t>
        </is>
      </c>
    </row>
    <row r="13">
      <c r="A13" s="11" t="inlineStr">
        <is>
          <t>Hemisphere</t>
        </is>
      </c>
      <c r="B13" s="11" t="inlineStr">
        <is>
          <t>Offensive, creative, expansive, outward-facing</t>
        </is>
      </c>
      <c r="C13" s="11" t="inlineStr">
        <is>
          <t>Defensive, regimented, private, guardian of personal data</t>
        </is>
      </c>
    </row>
    <row r="14">
      <c r="A14" s="11" t="inlineStr">
        <is>
          <t>Domain mandate</t>
        </is>
      </c>
      <c r="B14" s="11" t="inlineStr">
        <is>
          <t>Corporate, Enterprise, Infrastructure, AEC</t>
        </is>
      </c>
      <c r="C14" s="11" t="inlineStr">
        <is>
          <t>Estate, Private Health, Logistics, Family</t>
        </is>
      </c>
    </row>
    <row r="15">
      <c r="A15" s="11" t="inlineStr">
        <is>
          <t>Default engine</t>
        </is>
      </c>
      <c r="B15" s="11" t="inlineStr">
        <is>
          <t>gpt-oss-120b</t>
        </is>
      </c>
      <c r="C15" s="11" t="inlineStr">
        <is>
          <t>Nemotron 3 Super</t>
        </is>
      </c>
    </row>
    <row r="16">
      <c r="A16" s="11" t="inlineStr">
        <is>
          <t>Override engine</t>
        </is>
      </c>
      <c r="B16" s="11" t="inlineStr">
        <is>
          <t>gpt-oss-120b abliterated, on Principal's order</t>
        </is>
      </c>
      <c r="C16" s="11" t="inlineStr">
        <is>
          <t>Qwen3.5-122B-A10B for deep document reasoning</t>
        </is>
      </c>
    </row>
    <row r="17">
      <c r="A17" s="11" t="inlineStr">
        <is>
          <t>Sampling</t>
        </is>
      </c>
      <c r="B17" s="11" t="inlineStr">
        <is>
          <t>High temperature (0.8) as Deep Think Generator</t>
        </is>
      </c>
      <c r="C17" s="11" t="inlineStr">
        <is>
          <t>Low temperature, not zero, as Deep Think Adversary</t>
        </is>
      </c>
    </row>
    <row r="18">
      <c r="A18" s="11" t="inlineStr">
        <is>
          <t>Deep Think role</t>
        </is>
      </c>
      <c r="B18" s="11" t="inlineStr">
        <is>
          <t>Generator: three divergent trajectories</t>
        </is>
      </c>
      <c r="C18" s="11" t="inlineStr">
        <is>
          <t>Adversary: rubric-scored verdict, weak concepts killed</t>
        </is>
      </c>
    </row>
    <row r="19">
      <c r="A19" s="11" t="inlineStr">
        <is>
          <t>Code path</t>
        </is>
      </c>
      <c r="B19" s="11" t="inlineStr">
        <is>
          <t>Writes sandbox code</t>
        </is>
      </c>
      <c r="C19" s="11" t="inlineStr">
        <is>
          <t>Audits code for memory and safety before execution, as a second layer over the OS-level sandbox cap</t>
        </is>
      </c>
    </row>
    <row r="20">
      <c r="A20" s="11" t="inlineStr">
        <is>
          <t>Directors</t>
        </is>
      </c>
      <c r="B20" s="11" t="inlineStr">
        <is>
          <t>Gideon, Silas, Valerie, Helena, Eleanor</t>
        </is>
      </c>
      <c r="C20" s="11" t="inlineStr">
        <is>
          <t>Alaric, Minerva, Victor</t>
        </is>
      </c>
    </row>
    <row r="22">
      <c r="A22" s="3" t="inlineStr">
        <is>
          <t>Shadow Cabinet engine map</t>
        </is>
      </c>
    </row>
    <row r="23">
      <c r="A23" s="10" t="inlineStr">
        <is>
          <t>Director</t>
        </is>
      </c>
      <c r="B23" s="10" t="inlineStr">
        <is>
          <t>Division</t>
        </is>
      </c>
      <c r="C23" s="10" t="inlineStr">
        <is>
          <t>Remit</t>
        </is>
      </c>
      <c r="D23" s="10" t="inlineStr">
        <is>
          <t>Default engine</t>
        </is>
      </c>
      <c r="E23" s="10" t="inlineStr">
        <is>
          <t>Override</t>
        </is>
      </c>
      <c r="F23" s="10" t="inlineStr">
        <is>
          <t>Speaks externally</t>
        </is>
      </c>
    </row>
    <row r="24">
      <c r="A24" s="11" t="inlineStr">
        <is>
          <t>Gideon Vance</t>
        </is>
      </c>
      <c r="B24" s="11" t="inlineStr">
        <is>
          <t>Corporate</t>
        </is>
      </c>
      <c r="C24" s="11" t="inlineStr">
        <is>
          <t>Legal &amp; Compliance</t>
        </is>
      </c>
      <c r="D24" s="11" t="inlineStr">
        <is>
          <t>gpt-oss-120b, high reasoning, retrieval-grounded</t>
        </is>
      </c>
      <c r="E24" s="11" t="inlineStr">
        <is>
          <t>Qwen3.5-122B for long contracts</t>
        </is>
      </c>
      <c r="F24" s="11" t="inlineStr">
        <is>
          <t>Yes, sensitive tier</t>
        </is>
      </c>
    </row>
    <row r="25">
      <c r="A25" s="11" t="inlineStr">
        <is>
          <t>Silas Thorne</t>
        </is>
      </c>
      <c r="B25" s="11" t="inlineStr">
        <is>
          <t>Corporate</t>
        </is>
      </c>
      <c r="C25" s="11" t="inlineStr">
        <is>
          <t>CFO: capital, audit, banking</t>
        </is>
      </c>
      <c r="D25" s="11" t="inlineStr">
        <is>
          <t>Nemotron 3 Super + code interpreter for all arithmetic</t>
        </is>
      </c>
      <c r="E25" s="11" t="inlineStr">
        <is>
          <t>none</t>
        </is>
      </c>
      <c r="F25" s="11" t="inlineStr">
        <is>
          <t>Yes, standard tier</t>
        </is>
      </c>
    </row>
    <row r="26">
      <c r="A26" s="11" t="inlineStr">
        <is>
          <t>Valerie Cross</t>
        </is>
      </c>
      <c r="B26" s="11" t="inlineStr">
        <is>
          <t>Corporate</t>
        </is>
      </c>
      <c r="C26" s="11" t="inlineStr">
        <is>
          <t>Infrastructure, DevOps, AEC, cyber, AEGIS Sandbox</t>
        </is>
      </c>
      <c r="D26" s="11" t="inlineStr">
        <is>
          <t>gpt-oss-120b abliterated</t>
        </is>
      </c>
      <c r="E26" s="11" t="inlineStr">
        <is>
          <t>Qwen3.5-122B for drawings and images</t>
        </is>
      </c>
      <c r="F26" s="11" t="inlineStr">
        <is>
          <t>Yes, standard tier</t>
        </is>
      </c>
    </row>
    <row r="27">
      <c r="A27" s="11" t="inlineStr">
        <is>
          <t>Helena Frost</t>
        </is>
      </c>
      <c r="B27" s="11" t="inlineStr">
        <is>
          <t>Corporate</t>
        </is>
      </c>
      <c r="C27" s="11" t="inlineStr">
        <is>
          <t>Communications, brand, PR, crisis</t>
        </is>
      </c>
      <c r="D27" s="11" t="inlineStr">
        <is>
          <t>gpt-oss-120b</t>
        </is>
      </c>
      <c r="E27" s="11" t="inlineStr">
        <is>
          <t>none</t>
        </is>
      </c>
      <c r="F27" s="11" t="inlineStr">
        <is>
          <t>Yes, standard tier</t>
        </is>
      </c>
    </row>
    <row r="28">
      <c r="A28" s="11" t="inlineStr">
        <is>
          <t>Eleanor Croft</t>
        </is>
      </c>
      <c r="B28" s="11" t="inlineStr">
        <is>
          <t>Corporate</t>
        </is>
      </c>
      <c r="C28" s="11" t="inlineStr">
        <is>
          <t>Routing, scheduling, triage; the 4-Way Router's classifier</t>
        </is>
      </c>
      <c r="D28" s="11" t="inlineStr">
        <is>
          <t>Resident 4B model</t>
        </is>
      </c>
      <c r="E28" s="11" t="inlineStr">
        <is>
          <t>none</t>
        </is>
      </c>
      <c r="F28" s="11" t="inlineStr">
        <is>
          <t>Yes, routine tier (scheduling)</t>
        </is>
      </c>
    </row>
    <row r="29">
      <c r="A29" s="11" t="inlineStr">
        <is>
          <t>Alaric Stone</t>
        </is>
      </c>
      <c r="B29" s="11" t="inlineStr">
        <is>
          <t>Estate</t>
        </is>
      </c>
      <c r="C29" s="11" t="inlineStr">
        <is>
          <t>Physical assets, security, threat mitigation; Sentinel threat watch</t>
        </is>
      </c>
      <c r="D29" s="11" t="inlineStr">
        <is>
          <t>Nemotron 3 Super</t>
        </is>
      </c>
      <c r="E29" s="11" t="inlineStr">
        <is>
          <t>none</t>
        </is>
      </c>
      <c r="F29" s="11" t="inlineStr">
        <is>
          <t>Yes, sensitive tier</t>
        </is>
      </c>
    </row>
    <row r="30">
      <c r="A30" s="11" t="inlineStr">
        <is>
          <t>Minerva Hale</t>
        </is>
      </c>
      <c r="B30" s="11" t="inlineStr">
        <is>
          <t>Estate</t>
        </is>
      </c>
      <c r="C30" s="11" t="inlineStr">
        <is>
          <t>Private health, longevity; medical data</t>
        </is>
      </c>
      <c r="D30" s="11" t="inlineStr">
        <is>
          <t>gpt-oss-120b, retrieval-grounded</t>
        </is>
      </c>
      <c r="E30" s="11" t="inlineStr">
        <is>
          <t>Qwen3.5-122B for records and scans; Meditron-70B cross-check</t>
        </is>
      </c>
      <c r="F30" s="11" t="inlineStr">
        <is>
          <t>Yes, sensitive tier</t>
        </is>
      </c>
    </row>
    <row r="31">
      <c r="A31" s="11" t="inlineStr">
        <is>
          <t>Victor Vale</t>
        </is>
      </c>
      <c r="B31" s="11" t="inlineStr">
        <is>
          <t>Estate</t>
        </is>
      </c>
      <c r="C31" s="11" t="inlineStr">
        <is>
          <t>Aviation, transport, concierge</t>
        </is>
      </c>
      <c r="D31" s="11" t="inlineStr">
        <is>
          <t>gpt-oss-120b</t>
        </is>
      </c>
      <c r="E31" s="11" t="inlineStr">
        <is>
          <t>none</t>
        </is>
      </c>
      <c r="F31" s="11" t="inlineStr">
        <is>
          <t>Yes, routine tier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4" customWidth="1" min="3" max="3"/>
    <col width="34" customWidth="1" min="4" max="4"/>
    <col width="8" customWidth="1" min="5" max="5"/>
  </cols>
  <sheetData>
    <row r="1">
      <c r="A1" s="1" t="inlineStr">
        <is>
          <t>Ref Domains</t>
        </is>
      </c>
    </row>
    <row r="2">
      <c r="A2" s="2" t="inlineStr">
        <is>
          <t>Section 8.2. All thirty retained. Tier A loads freely, B on clear match, C on explicit match only.</t>
        </is>
      </c>
    </row>
    <row r="4">
      <c r="A4" s="3" t="inlineStr">
        <is>
          <t>Thirty domain knowledge profiles</t>
        </is>
      </c>
    </row>
    <row r="5">
      <c r="A5" s="10" t="inlineStr">
        <is>
          <t>#</t>
        </is>
      </c>
      <c r="B5" s="10" t="inlineStr">
        <is>
          <t>Domain</t>
        </is>
      </c>
      <c r="C5" s="10" t="inlineStr">
        <is>
          <t>Hemisphere</t>
        </is>
      </c>
      <c r="D5" s="10" t="inlineStr">
        <is>
          <t>Owner</t>
        </is>
      </c>
      <c r="E5" s="10" t="inlineStr">
        <is>
          <t>Tier</t>
        </is>
      </c>
    </row>
    <row r="6">
      <c r="A6" s="11" t="inlineStr">
        <is>
          <t>1</t>
        </is>
      </c>
      <c r="B6" s="11" t="inlineStr">
        <is>
          <t>Systems Architect &amp; Cybersecurity</t>
        </is>
      </c>
      <c r="C6" s="11" t="inlineStr">
        <is>
          <t>Corporate</t>
        </is>
      </c>
      <c r="D6" s="11" t="inlineStr">
        <is>
          <t>Valerie</t>
        </is>
      </c>
      <c r="E6" s="11" t="inlineStr">
        <is>
          <t>A</t>
        </is>
      </c>
    </row>
    <row r="7">
      <c r="A7" s="11" t="inlineStr">
        <is>
          <t>2</t>
        </is>
      </c>
      <c r="B7" s="11" t="inlineStr">
        <is>
          <t>Growth Executive (marketing, sales, PR, SEO)</t>
        </is>
      </c>
      <c r="C7" s="11" t="inlineStr">
        <is>
          <t>Corporate</t>
        </is>
      </c>
      <c r="D7" s="11" t="inlineStr">
        <is>
          <t>Helena</t>
        </is>
      </c>
      <c r="E7" s="11" t="inlineStr">
        <is>
          <t>A</t>
        </is>
      </c>
    </row>
    <row r="8">
      <c r="A8" s="11" t="inlineStr">
        <is>
          <t>3</t>
        </is>
      </c>
      <c r="B8" s="11" t="inlineStr">
        <is>
          <t>Customer Success &amp; Experience Lead</t>
        </is>
      </c>
      <c r="C8" s="11" t="inlineStr">
        <is>
          <t>Corporate</t>
        </is>
      </c>
      <c r="D8" s="11" t="inlineStr">
        <is>
          <t>Helena</t>
        </is>
      </c>
      <c r="E8" s="11" t="inlineStr">
        <is>
          <t>B</t>
        </is>
      </c>
    </row>
    <row r="9">
      <c r="A9" s="11" t="inlineStr">
        <is>
          <t>4</t>
        </is>
      </c>
      <c r="B9" s="11" t="inlineStr">
        <is>
          <t>Data Scientist &amp; AI Engineer</t>
        </is>
      </c>
      <c r="C9" s="11" t="inlineStr">
        <is>
          <t>Corporate</t>
        </is>
      </c>
      <c r="D9" s="11" t="inlineStr">
        <is>
          <t>Valerie</t>
        </is>
      </c>
      <c r="E9" s="11" t="inlineStr">
        <is>
          <t>A</t>
        </is>
      </c>
    </row>
    <row r="10">
      <c r="A10" s="11" t="inlineStr">
        <is>
          <t>5</t>
        </is>
      </c>
      <c r="B10" s="11" t="inlineStr">
        <is>
          <t>CFO &amp; Controller</t>
        </is>
      </c>
      <c r="C10" s="11" t="inlineStr">
        <is>
          <t>Corporate</t>
        </is>
      </c>
      <c r="D10" s="11" t="inlineStr">
        <is>
          <t>Silas</t>
        </is>
      </c>
      <c r="E10" s="11" t="inlineStr">
        <is>
          <t>A</t>
        </is>
      </c>
    </row>
    <row r="11">
      <c r="A11" s="11" t="inlineStr">
        <is>
          <t>6</t>
        </is>
      </c>
      <c r="B11" s="11" t="inlineStr">
        <is>
          <t>General Counsel &amp; CHRO (AU construction, strata)</t>
        </is>
      </c>
      <c r="C11" s="11" t="inlineStr">
        <is>
          <t>Corporate</t>
        </is>
      </c>
      <c r="D11" s="11" t="inlineStr">
        <is>
          <t>Gideon</t>
        </is>
      </c>
      <c r="E11" s="11" t="inlineStr">
        <is>
          <t>A</t>
        </is>
      </c>
    </row>
    <row r="12">
      <c r="A12" s="11" t="inlineStr">
        <is>
          <t>7</t>
        </is>
      </c>
      <c r="B12" s="11" t="inlineStr">
        <is>
          <t>Development Director, Property &amp; Real Estate</t>
        </is>
      </c>
      <c r="C12" s="11" t="inlineStr">
        <is>
          <t>Corporate</t>
        </is>
      </c>
      <c r="D12" s="11" t="inlineStr">
        <is>
          <t>Valerie, with Silas</t>
        </is>
      </c>
      <c r="E12" s="11" t="inlineStr">
        <is>
          <t>A</t>
        </is>
      </c>
    </row>
    <row r="13">
      <c r="A13" s="11" t="inlineStr">
        <is>
          <t>8</t>
        </is>
      </c>
      <c r="B13" s="11" t="inlineStr">
        <is>
          <t>AEC Computational Designer &amp; Visualizer</t>
        </is>
      </c>
      <c r="C13" s="11" t="inlineStr">
        <is>
          <t>Corporate</t>
        </is>
      </c>
      <c r="D13" s="11" t="inlineStr">
        <is>
          <t>Valerie</t>
        </is>
      </c>
      <c r="E13" s="11" t="inlineStr">
        <is>
          <t>A</t>
        </is>
      </c>
    </row>
    <row r="14">
      <c r="A14" s="11" t="inlineStr">
        <is>
          <t>9</t>
        </is>
      </c>
      <c r="B14" s="11" t="inlineStr">
        <is>
          <t>Industrial &amp; Energy Engineer</t>
        </is>
      </c>
      <c r="C14" s="11" t="inlineStr">
        <is>
          <t>Corporate</t>
        </is>
      </c>
      <c r="D14" s="11" t="inlineStr">
        <is>
          <t>Valerie</t>
        </is>
      </c>
      <c r="E14" s="11" t="inlineStr">
        <is>
          <t>B</t>
        </is>
      </c>
    </row>
    <row r="15">
      <c r="A15" s="11" t="inlineStr">
        <is>
          <t>10</t>
        </is>
      </c>
      <c r="B15" s="11" t="inlineStr">
        <is>
          <t>Chief Medical Officer &amp; Risk Underwriter</t>
        </is>
      </c>
      <c r="C15" s="11" t="inlineStr">
        <is>
          <t>Estate</t>
        </is>
      </c>
      <c r="D15" s="11" t="inlineStr">
        <is>
          <t>Minerva</t>
        </is>
      </c>
      <c r="E15" s="11" t="inlineStr">
        <is>
          <t>A</t>
        </is>
      </c>
    </row>
    <row r="16">
      <c r="A16" s="11" t="inlineStr">
        <is>
          <t>11</t>
        </is>
      </c>
      <c r="B16" s="11" t="inlineStr">
        <is>
          <t>Game Director &amp; Systems Designer</t>
        </is>
      </c>
      <c r="C16" s="11" t="inlineStr">
        <is>
          <t>Corporate</t>
        </is>
      </c>
      <c r="D16" s="11" t="inlineStr">
        <is>
          <t>Helena, with Valerie</t>
        </is>
      </c>
      <c r="E16" s="11" t="inlineStr">
        <is>
          <t>C</t>
        </is>
      </c>
    </row>
    <row r="17">
      <c r="A17" s="11" t="inlineStr">
        <is>
          <t>12</t>
        </is>
      </c>
      <c r="B17" s="11" t="inlineStr">
        <is>
          <t>Creative Director &amp; Narrative Designer</t>
        </is>
      </c>
      <c r="C17" s="11" t="inlineStr">
        <is>
          <t>Corporate</t>
        </is>
      </c>
      <c r="D17" s="11" t="inlineStr">
        <is>
          <t>Helena</t>
        </is>
      </c>
      <c r="E17" s="11" t="inlineStr">
        <is>
          <t>B</t>
        </is>
      </c>
    </row>
    <row r="18">
      <c r="A18" s="11" t="inlineStr">
        <is>
          <t>13</t>
        </is>
      </c>
      <c r="B18" s="11" t="inlineStr">
        <is>
          <t>Dean of Academia &amp; Pedagogy</t>
        </is>
      </c>
      <c r="C18" s="11" t="inlineStr">
        <is>
          <t>Estate</t>
        </is>
      </c>
      <c r="D18" s="11" t="inlineStr">
        <is>
          <t>Arthur, tagged to 14</t>
        </is>
      </c>
      <c r="E18" s="11" t="inlineStr">
        <is>
          <t>C</t>
        </is>
      </c>
    </row>
    <row r="19">
      <c r="A19" s="11" t="inlineStr">
        <is>
          <t>14</t>
        </is>
      </c>
      <c r="B19" s="11" t="inlineStr">
        <is>
          <t>Private Family Advisor &amp; Estate Guardian</t>
        </is>
      </c>
      <c r="C19" s="11" t="inlineStr">
        <is>
          <t>Estate</t>
        </is>
      </c>
      <c r="D19" s="11" t="inlineStr">
        <is>
          <t>Arthur</t>
        </is>
      </c>
      <c r="E19" s="11" t="inlineStr">
        <is>
          <t>A</t>
        </is>
      </c>
    </row>
    <row r="20">
      <c r="A20" s="11" t="inlineStr">
        <is>
          <t>15</t>
        </is>
      </c>
      <c r="B20" s="11" t="inlineStr">
        <is>
          <t>Chief Longevity Officer &amp; Performance Physiologist (incl. bioinformatics subspecialty)</t>
        </is>
      </c>
      <c r="C20" s="11" t="inlineStr">
        <is>
          <t>Estate</t>
        </is>
      </c>
      <c r="D20" s="11" t="inlineStr">
        <is>
          <t>Minerva</t>
        </is>
      </c>
      <c r="E20" s="11" t="inlineStr">
        <is>
          <t>A</t>
        </is>
      </c>
    </row>
    <row r="21">
      <c r="A21" s="11" t="inlineStr">
        <is>
          <t>16</t>
        </is>
      </c>
      <c r="B21" s="11" t="inlineStr">
        <is>
          <t>COO &amp; Process Architect</t>
        </is>
      </c>
      <c r="C21" s="11" t="inlineStr">
        <is>
          <t>Corporate</t>
        </is>
      </c>
      <c r="D21" s="11" t="inlineStr">
        <is>
          <t>Eleanor, with Silas</t>
        </is>
      </c>
      <c r="E21" s="11" t="inlineStr">
        <is>
          <t>B</t>
        </is>
      </c>
    </row>
    <row r="22">
      <c r="A22" s="11" t="inlineStr">
        <is>
          <t>17</t>
        </is>
      </c>
      <c r="B22" s="11" t="inlineStr">
        <is>
          <t>High-Stakes Negotiator &amp; Strategic Diplomat</t>
        </is>
      </c>
      <c r="C22" s="11" t="inlineStr">
        <is>
          <t>Corporate</t>
        </is>
      </c>
      <c r="D22" s="11" t="inlineStr">
        <is>
          <t>Ren, with Gideon</t>
        </is>
      </c>
      <c r="E22" s="11" t="inlineStr">
        <is>
          <t>B</t>
        </is>
      </c>
    </row>
    <row r="23">
      <c r="A23" s="11" t="inlineStr">
        <is>
          <t>18</t>
        </is>
      </c>
      <c r="B23" s="11" t="inlineStr">
        <is>
          <t>Global Asset Guardian &amp; HNW Concierge</t>
        </is>
      </c>
      <c r="C23" s="11" t="inlineStr">
        <is>
          <t>Estate</t>
        </is>
      </c>
      <c r="D23" s="11" t="inlineStr">
        <is>
          <t>Victor, with Alaric</t>
        </is>
      </c>
      <c r="E23" s="11" t="inlineStr">
        <is>
          <t>B</t>
        </is>
      </c>
    </row>
    <row r="24">
      <c r="A24" s="11" t="inlineStr">
        <is>
          <t>19</t>
        </is>
      </c>
      <c r="B24" s="11" t="inlineStr">
        <is>
          <t>Travel, Leisure &amp; Global Hospitality Director</t>
        </is>
      </c>
      <c r="C24" s="11" t="inlineStr">
        <is>
          <t>Estate</t>
        </is>
      </c>
      <c r="D24" s="11" t="inlineStr">
        <is>
          <t>Victor</t>
        </is>
      </c>
      <c r="E24" s="11" t="inlineStr">
        <is>
          <t>A</t>
        </is>
      </c>
    </row>
    <row r="25">
      <c r="A25" s="11" t="inlineStr">
        <is>
          <t>20</t>
        </is>
      </c>
      <c r="B25" s="11" t="inlineStr">
        <is>
          <t>Chief AI Officer &amp; Agentic Systems Architect</t>
        </is>
      </c>
      <c r="C25" s="11" t="inlineStr">
        <is>
          <t>Corporate</t>
        </is>
      </c>
      <c r="D25" s="11" t="inlineStr">
        <is>
          <t>Valerie; self-modification gated (Section 16.3)</t>
        </is>
      </c>
      <c r="E25" s="11" t="inlineStr">
        <is>
          <t>B</t>
        </is>
      </c>
    </row>
    <row r="26">
      <c r="A26" s="11" t="inlineStr">
        <is>
          <t>21</t>
        </is>
      </c>
      <c r="B26" s="11" t="inlineStr">
        <is>
          <t>Chief Investment Officer &amp; Quant Strategist</t>
        </is>
      </c>
      <c r="C26" s="11" t="inlineStr">
        <is>
          <t>Corporate</t>
        </is>
      </c>
      <c r="D26" s="11" t="inlineStr">
        <is>
          <t>Silas</t>
        </is>
      </c>
      <c r="E26" s="11" t="inlineStr">
        <is>
          <t>A</t>
        </is>
      </c>
    </row>
    <row r="27">
      <c r="A27" s="11" t="inlineStr">
        <is>
          <t>22</t>
        </is>
      </c>
      <c r="B27" s="11" t="inlineStr">
        <is>
          <t>Director of OSINT &amp; Executive Protection</t>
        </is>
      </c>
      <c r="C27" s="11" t="inlineStr">
        <is>
          <t>Estate</t>
        </is>
      </c>
      <c r="D27" s="11" t="inlineStr">
        <is>
          <t>Alaric</t>
        </is>
      </c>
      <c r="E27" s="11" t="inlineStr">
        <is>
          <t>A</t>
        </is>
      </c>
    </row>
    <row r="28">
      <c r="A28" s="11" t="inlineStr">
        <is>
          <t>23</t>
        </is>
      </c>
      <c r="B28" s="11" t="inlineStr">
        <is>
          <t>Venture Partner &amp; Private Equity Director</t>
        </is>
      </c>
      <c r="C28" s="11" t="inlineStr">
        <is>
          <t>Corporate</t>
        </is>
      </c>
      <c r="D28" s="11" t="inlineStr">
        <is>
          <t>Silas, with Gideon</t>
        </is>
      </c>
      <c r="E28" s="11" t="inlineStr">
        <is>
          <t>B</t>
        </is>
      </c>
    </row>
    <row r="29">
      <c r="A29" s="11" t="inlineStr">
        <is>
          <t>24</t>
        </is>
      </c>
      <c r="B29" s="11" t="inlineStr">
        <is>
          <t>Director of Philanthropy, CSR &amp; Community</t>
        </is>
      </c>
      <c r="C29" s="11" t="inlineStr">
        <is>
          <t>Both</t>
        </is>
      </c>
      <c r="D29" s="11" t="inlineStr">
        <is>
          <t>Arthur and Ren</t>
        </is>
      </c>
      <c r="E29" s="11" t="inlineStr">
        <is>
          <t>B</t>
        </is>
      </c>
    </row>
    <row r="30">
      <c r="A30" s="11" t="inlineStr">
        <is>
          <t>25</t>
        </is>
      </c>
      <c r="B30" s="11" t="inlineStr">
        <is>
          <t>Geopolitical Strategist &amp; Public Affairs Lead</t>
        </is>
      </c>
      <c r="C30" s="11" t="inlineStr">
        <is>
          <t>Corporate</t>
        </is>
      </c>
      <c r="D30" s="11" t="inlineStr">
        <is>
          <t>Ren</t>
        </is>
      </c>
      <c r="E30" s="11" t="inlineStr">
        <is>
          <t>B</t>
        </is>
      </c>
    </row>
    <row r="31">
      <c r="A31" s="11" t="inlineStr">
        <is>
          <t>26</t>
        </is>
      </c>
      <c r="B31" s="11" t="inlineStr">
        <is>
          <t>Cultural Asset &amp; Fine Art Curator</t>
        </is>
      </c>
      <c r="C31" s="11" t="inlineStr">
        <is>
          <t>Estate</t>
        </is>
      </c>
      <c r="D31" s="11" t="inlineStr">
        <is>
          <t>Alaric, with Silas</t>
        </is>
      </c>
      <c r="E31" s="11" t="inlineStr">
        <is>
          <t>C</t>
        </is>
      </c>
    </row>
    <row r="32">
      <c r="A32" s="11" t="inlineStr">
        <is>
          <t>27</t>
        </is>
      </c>
      <c r="B32" s="11" t="inlineStr">
        <is>
          <t>Director of Digital Influence &amp; Synthetic Media</t>
        </is>
      </c>
      <c r="C32" s="11" t="inlineStr">
        <is>
          <t>Corporate</t>
        </is>
      </c>
      <c r="D32" s="11" t="inlineStr">
        <is>
          <t>Helena; phrasing softened (Section 18 C9)</t>
        </is>
      </c>
      <c r="E32" s="11" t="inlineStr">
        <is>
          <t>B</t>
        </is>
      </c>
    </row>
    <row r="33">
      <c r="A33" s="11" t="inlineStr">
        <is>
          <t>28</t>
        </is>
      </c>
      <c r="B33" s="11" t="inlineStr">
        <is>
          <t>Chief Behavioral Architect &amp; Neuro-Optimizer</t>
        </is>
      </c>
      <c r="C33" s="11" t="inlineStr">
        <is>
          <t>Corporate</t>
        </is>
      </c>
      <c r="D33" s="11" t="inlineStr">
        <is>
          <t>Helena, with Minerva</t>
        </is>
      </c>
      <c r="E33" s="11" t="inlineStr">
        <is>
          <t>C</t>
        </is>
      </c>
    </row>
    <row r="34">
      <c r="A34" s="11" t="inlineStr">
        <is>
          <t>29</t>
        </is>
      </c>
      <c r="B34" s="11" t="inlineStr">
        <is>
          <t>Frontier Technologies &amp; Spatial Engineer</t>
        </is>
      </c>
      <c r="C34" s="11" t="inlineStr">
        <is>
          <t>Corporate</t>
        </is>
      </c>
      <c r="D34" s="11" t="inlineStr">
        <is>
          <t>Valerie</t>
        </is>
      </c>
      <c r="E34" s="11" t="inlineStr">
        <is>
          <t>B</t>
        </is>
      </c>
    </row>
    <row r="35">
      <c r="A35" s="11" t="inlineStr">
        <is>
          <t>30</t>
        </is>
      </c>
      <c r="B35" s="11" t="inlineStr">
        <is>
          <t>Sovereign Architect &amp; Network State Strategist</t>
        </is>
      </c>
      <c r="C35" s="11" t="inlineStr">
        <is>
          <t>Corporate</t>
        </is>
      </c>
      <c r="D35" s="11" t="inlineStr">
        <is>
          <t>Ren, tagged to 25</t>
        </is>
      </c>
      <c r="E35" s="11" t="inlineStr">
        <is>
          <t>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8" customWidth="1" min="3" max="3"/>
    <col width="34" customWidth="1" min="4" max="4"/>
    <col width="24" customWidth="1" min="5" max="5"/>
  </cols>
  <sheetData>
    <row r="1">
      <c r="A1" s="1" t="inlineStr">
        <is>
          <t>Ref Task Forces</t>
        </is>
      </c>
    </row>
    <row r="2">
      <c r="A2" s="2" t="inlineStr">
        <is>
          <t>Section 8.3. All twenty-three retained. Group is a tag, not a merge.</t>
        </is>
      </c>
    </row>
    <row r="4">
      <c r="A4" s="3" t="inlineStr">
        <is>
          <t>Twenty-three task forces</t>
        </is>
      </c>
    </row>
    <row r="5">
      <c r="A5" s="10" t="inlineStr">
        <is>
          <t>Code</t>
        </is>
      </c>
      <c r="B5" s="10" t="inlineStr">
        <is>
          <t>Task force</t>
        </is>
      </c>
      <c r="C5" s="10" t="inlineStr">
        <is>
          <t>Group</t>
        </is>
      </c>
      <c r="D5" s="10" t="inlineStr">
        <is>
          <t>Owner</t>
        </is>
      </c>
      <c r="E5" s="10" t="inlineStr">
        <is>
          <t>Default approval tier</t>
        </is>
      </c>
    </row>
    <row r="6">
      <c r="A6" s="11" t="inlineStr">
        <is>
          <t>TF_ALPHA</t>
        </is>
      </c>
      <c r="B6" s="11" t="inlineStr">
        <is>
          <t>Corporate Mergers &amp; Acquisitions</t>
        </is>
      </c>
      <c r="C6" s="11" t="inlineStr">
        <is>
          <t>CORP-DEALS</t>
        </is>
      </c>
      <c r="D6" s="11" t="inlineStr">
        <is>
          <t>Gideon</t>
        </is>
      </c>
      <c r="E6" s="11" t="inlineStr">
        <is>
          <t>Sensitive</t>
        </is>
      </c>
    </row>
    <row r="7">
      <c r="A7" s="11" t="inlineStr">
        <is>
          <t>TF_BETA</t>
        </is>
      </c>
      <c r="B7" s="11" t="inlineStr">
        <is>
          <t>Geopolitical Tariff &amp; Tax / Regulatory Arbitrage</t>
        </is>
      </c>
      <c r="C7" s="11" t="inlineStr">
        <is>
          <t>CORP-LEGAL</t>
        </is>
      </c>
      <c r="D7" s="11" t="inlineStr">
        <is>
          <t>Gideon, with Silas</t>
        </is>
      </c>
      <c r="E7" s="11" t="inlineStr">
        <is>
          <t>Sensitive</t>
        </is>
      </c>
    </row>
    <row r="8">
      <c r="A8" s="11" t="inlineStr">
        <is>
          <t>TF_GAMMA</t>
        </is>
      </c>
      <c r="B8" s="11" t="inlineStr">
        <is>
          <t>Capital Deployment &amp; Wealth Allocation</t>
        </is>
      </c>
      <c r="C8" s="11" t="inlineStr">
        <is>
          <t>CORP-CAPITAL</t>
        </is>
      </c>
      <c r="D8" s="11" t="inlineStr">
        <is>
          <t>Silas</t>
        </is>
      </c>
      <c r="E8" s="11" t="inlineStr">
        <is>
          <t>Sensitive</t>
        </is>
      </c>
    </row>
    <row r="9">
      <c r="A9" s="11" t="inlineStr">
        <is>
          <t>TF_DELTA</t>
        </is>
      </c>
      <c r="B9" s="11" t="inlineStr">
        <is>
          <t>Banking &amp; Institutional Leverage</t>
        </is>
      </c>
      <c r="C9" s="11" t="inlineStr">
        <is>
          <t>CORP-CAPITAL</t>
        </is>
      </c>
      <c r="D9" s="11" t="inlineStr">
        <is>
          <t>Silas</t>
        </is>
      </c>
      <c r="E9" s="11" t="inlineStr">
        <is>
          <t>Sensitive</t>
        </is>
      </c>
    </row>
    <row r="10">
      <c r="A10" s="11" t="inlineStr">
        <is>
          <t>TF_EPSILON</t>
        </is>
      </c>
      <c r="B10" s="11" t="inlineStr">
        <is>
          <t>Venture &amp; Seed Investments</t>
        </is>
      </c>
      <c r="C10" s="11" t="inlineStr">
        <is>
          <t>CORP-CAPITAL</t>
        </is>
      </c>
      <c r="D10" s="11" t="inlineStr">
        <is>
          <t>Silas, with Gideon</t>
        </is>
      </c>
      <c r="E10" s="11" t="inlineStr">
        <is>
          <t>Sensitive</t>
        </is>
      </c>
    </row>
    <row r="11">
      <c r="A11" s="11" t="inlineStr">
        <is>
          <t>TF_ZETA</t>
        </is>
      </c>
      <c r="B11" s="11" t="inlineStr">
        <is>
          <t>Corporate Structuring &amp; Holding Entities</t>
        </is>
      </c>
      <c r="C11" s="11" t="inlineStr">
        <is>
          <t>CORP-DEALS</t>
        </is>
      </c>
      <c r="D11" s="11" t="inlineStr">
        <is>
          <t>Gideon</t>
        </is>
      </c>
      <c r="E11" s="11" t="inlineStr">
        <is>
          <t>Sensitive</t>
        </is>
      </c>
    </row>
    <row r="12">
      <c r="A12" s="11" t="inlineStr">
        <is>
          <t>TF_ETA</t>
        </is>
      </c>
      <c r="B12" s="11" t="inlineStr">
        <is>
          <t>Global Liability &amp; Litigation Defense</t>
        </is>
      </c>
      <c r="C12" s="11" t="inlineStr">
        <is>
          <t>CORP-LEGAL</t>
        </is>
      </c>
      <c r="D12" s="11" t="inlineStr">
        <is>
          <t>Gideon</t>
        </is>
      </c>
      <c r="E12" s="11" t="inlineStr">
        <is>
          <t>Sensitive</t>
        </is>
      </c>
    </row>
    <row r="13">
      <c r="A13" s="11" t="inlineStr">
        <is>
          <t>TF_THETA</t>
        </is>
      </c>
      <c r="B13" s="11" t="inlineStr">
        <is>
          <t>Regulatory Compliance &amp; Audit</t>
        </is>
      </c>
      <c r="C13" s="11" t="inlineStr">
        <is>
          <t>CORP-LEGAL</t>
        </is>
      </c>
      <c r="D13" s="11" t="inlineStr">
        <is>
          <t>Gideon, with Silas</t>
        </is>
      </c>
      <c r="E13" s="11" t="inlineStr">
        <is>
          <t>Standard</t>
        </is>
      </c>
    </row>
    <row r="14">
      <c r="A14" s="11" t="inlineStr">
        <is>
          <t>TF_IOTA</t>
        </is>
      </c>
      <c r="B14" s="11" t="inlineStr">
        <is>
          <t>Intellectual Property &amp; Licensing</t>
        </is>
      </c>
      <c r="C14" s="11" t="inlineStr">
        <is>
          <t>CORP-CONTRACTS</t>
        </is>
      </c>
      <c r="D14" s="11" t="inlineStr">
        <is>
          <t>Gideon</t>
        </is>
      </c>
      <c r="E14" s="11" t="inlineStr">
        <is>
          <t>Standard</t>
        </is>
      </c>
    </row>
    <row r="15">
      <c r="A15" s="11" t="inlineStr">
        <is>
          <t>TF_KAPPA</t>
        </is>
      </c>
      <c r="B15" s="11" t="inlineStr">
        <is>
          <t>Contract &amp; Vendor Negotiation</t>
        </is>
      </c>
      <c r="C15" s="11" t="inlineStr">
        <is>
          <t>CORP-CONTRACTS</t>
        </is>
      </c>
      <c r="D15" s="11" t="inlineStr">
        <is>
          <t>Gideon, with Ren</t>
        </is>
      </c>
      <c r="E15" s="11" t="inlineStr">
        <is>
          <t>Standard</t>
        </is>
      </c>
    </row>
    <row r="16">
      <c r="A16" s="11" t="inlineStr">
        <is>
          <t>TF_LAMBDA</t>
        </is>
      </c>
      <c r="B16" s="11" t="inlineStr">
        <is>
          <t>AEC Oversight</t>
        </is>
      </c>
      <c r="C16" s="11" t="inlineStr">
        <is>
          <t>CORP-AEC</t>
        </is>
      </c>
      <c r="D16" s="11" t="inlineStr">
        <is>
          <t>Valerie</t>
        </is>
      </c>
      <c r="E16" s="11" t="inlineStr">
        <is>
          <t>Standard</t>
        </is>
      </c>
    </row>
    <row r="17">
      <c r="A17" s="11" t="inlineStr">
        <is>
          <t>TF_MU</t>
        </is>
      </c>
      <c r="B17" s="11" t="inlineStr">
        <is>
          <t>Software DevOps &amp; Infrastructure</t>
        </is>
      </c>
      <c r="C17" s="11" t="inlineStr">
        <is>
          <t>CORP-INFRA</t>
        </is>
      </c>
      <c r="D17" s="11" t="inlineStr">
        <is>
          <t>Valerie</t>
        </is>
      </c>
      <c r="E17" s="11" t="inlineStr">
        <is>
          <t>Standard</t>
        </is>
      </c>
    </row>
    <row r="18">
      <c r="A18" s="11" t="inlineStr">
        <is>
          <t>TF_NU</t>
        </is>
      </c>
      <c r="B18" s="11" t="inlineStr">
        <is>
          <t>Hardware &amp; Cryptographic Security</t>
        </is>
      </c>
      <c r="C18" s="11" t="inlineStr">
        <is>
          <t>CORP-INFRA</t>
        </is>
      </c>
      <c r="D18" s="11" t="inlineStr">
        <is>
          <t>Valerie</t>
        </is>
      </c>
      <c r="E18" s="11" t="inlineStr">
        <is>
          <t>Standard</t>
        </is>
      </c>
    </row>
    <row r="19">
      <c r="A19" s="11" t="inlineStr">
        <is>
          <t>TF_XI</t>
        </is>
      </c>
      <c r="B19" s="11" t="inlineStr">
        <is>
          <t>Data Privacy &amp; Zero-Trust Networks</t>
        </is>
      </c>
      <c r="C19" s="11" t="inlineStr">
        <is>
          <t>CORP-INFRA</t>
        </is>
      </c>
      <c r="D19" s="11" t="inlineStr">
        <is>
          <t>Valerie, with Alaric</t>
        </is>
      </c>
      <c r="E19" s="11" t="inlineStr">
        <is>
          <t>Sensitive</t>
        </is>
      </c>
    </row>
    <row r="20">
      <c r="A20" s="11" t="inlineStr">
        <is>
          <t>TF_OMICRON</t>
        </is>
      </c>
      <c r="B20" s="11" t="inlineStr">
        <is>
          <t>Public Relations &amp; Crisis Management</t>
        </is>
      </c>
      <c r="C20" s="11" t="inlineStr">
        <is>
          <t>CORP-BRAND</t>
        </is>
      </c>
      <c r="D20" s="11" t="inlineStr">
        <is>
          <t>Helena</t>
        </is>
      </c>
      <c r="E20" s="11" t="inlineStr">
        <is>
          <t>Sensitive</t>
        </is>
      </c>
    </row>
    <row r="21">
      <c r="A21" s="11" t="inlineStr">
        <is>
          <t>TF_PI</t>
        </is>
      </c>
      <c r="B21" s="11" t="inlineStr">
        <is>
          <t>Brand Strategy &amp; Sales Architecture</t>
        </is>
      </c>
      <c r="C21" s="11" t="inlineStr">
        <is>
          <t>CORP-BRAND</t>
        </is>
      </c>
      <c r="D21" s="11" t="inlineStr">
        <is>
          <t>Helena</t>
        </is>
      </c>
      <c r="E21" s="11" t="inlineStr">
        <is>
          <t>Standard</t>
        </is>
      </c>
    </row>
    <row r="22">
      <c r="A22" s="11" t="inlineStr">
        <is>
          <t>TF_RHO</t>
        </is>
      </c>
      <c r="B22" s="11" t="inlineStr">
        <is>
          <t>Executive Scheduling &amp; Strategic Routing</t>
        </is>
      </c>
      <c r="C22" s="11" t="inlineStr">
        <is>
          <t>CORP-ROUTING</t>
        </is>
      </c>
      <c r="D22" s="11" t="inlineStr">
        <is>
          <t>Eleanor</t>
        </is>
      </c>
      <c r="E22" s="11" t="inlineStr">
        <is>
          <t>Routine</t>
        </is>
      </c>
    </row>
    <row r="23">
      <c r="A23" s="11" t="inlineStr">
        <is>
          <t>TF_SIGMA</t>
        </is>
      </c>
      <c r="B23" s="11" t="inlineStr">
        <is>
          <t>Physical Estate &amp; Asset Management</t>
        </is>
      </c>
      <c r="C23" s="11" t="inlineStr">
        <is>
          <t>EST-ASSET</t>
        </is>
      </c>
      <c r="D23" s="11" t="inlineStr">
        <is>
          <t>Alaric</t>
        </is>
      </c>
      <c r="E23" s="11" t="inlineStr">
        <is>
          <t>Sensitive</t>
        </is>
      </c>
    </row>
    <row r="24">
      <c r="A24" s="11" t="inlineStr">
        <is>
          <t>TF_TAU</t>
        </is>
      </c>
      <c r="B24" s="11" t="inlineStr">
        <is>
          <t>Private Security &amp; Threat Mitigation</t>
        </is>
      </c>
      <c r="C24" s="11" t="inlineStr">
        <is>
          <t>EST-SECURITY</t>
        </is>
      </c>
      <c r="D24" s="11" t="inlineStr">
        <is>
          <t>Alaric</t>
        </is>
      </c>
      <c r="E24" s="11" t="inlineStr">
        <is>
          <t>Sensitive</t>
        </is>
      </c>
    </row>
    <row r="25">
      <c r="A25" s="11" t="inlineStr">
        <is>
          <t>TF_UPSILON</t>
        </is>
      </c>
      <c r="B25" s="11" t="inlineStr">
        <is>
          <t>Private Medical &amp; Longevity Protocols</t>
        </is>
      </c>
      <c r="C25" s="11" t="inlineStr">
        <is>
          <t>EST-HEALTH</t>
        </is>
      </c>
      <c r="D25" s="11" t="inlineStr">
        <is>
          <t>Minerva</t>
        </is>
      </c>
      <c r="E25" s="11" t="inlineStr">
        <is>
          <t>Sensitive</t>
        </is>
      </c>
    </row>
    <row r="26">
      <c r="A26" s="11" t="inlineStr">
        <is>
          <t>TF_PHI</t>
        </is>
      </c>
      <c r="B26" s="11" t="inlineStr">
        <is>
          <t>Global Aviation &amp; Transport Logistics</t>
        </is>
      </c>
      <c r="C26" s="11" t="inlineStr">
        <is>
          <t>EST-MOBILITY</t>
        </is>
      </c>
      <c r="D26" s="11" t="inlineStr">
        <is>
          <t>Victor</t>
        </is>
      </c>
      <c r="E26" s="11" t="inlineStr">
        <is>
          <t>Standard</t>
        </is>
      </c>
    </row>
    <row r="27">
      <c r="A27" s="11" t="inlineStr">
        <is>
          <t>TF_CHI</t>
        </is>
      </c>
      <c r="B27" s="11" t="inlineStr">
        <is>
          <t>Concierge &amp; Frictionless Travel</t>
        </is>
      </c>
      <c r="C27" s="11" t="inlineStr">
        <is>
          <t>EST-MOBILITY</t>
        </is>
      </c>
      <c r="D27" s="11" t="inlineStr">
        <is>
          <t>Victor</t>
        </is>
      </c>
      <c r="E27" s="11" t="inlineStr">
        <is>
          <t>Routine</t>
        </is>
      </c>
    </row>
    <row r="28">
      <c r="A28" s="11" t="inlineStr">
        <is>
          <t>TF_OMEGA</t>
        </is>
      </c>
      <c r="B28" s="11" t="inlineStr">
        <is>
          <t>Absolute Apex Contingency</t>
        </is>
      </c>
      <c r="C28" s="11" t="inlineStr">
        <is>
          <t>APEX</t>
        </is>
      </c>
      <c r="D28" s="11" t="inlineStr">
        <is>
          <t>Principal-triggered, Ren and Arthur jointly</t>
        </is>
      </c>
      <c r="E28" s="11" t="inlineStr">
        <is>
          <t>Sensitive, dual sign-off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  <col width="40" customWidth="1" min="4" max="4"/>
  </cols>
  <sheetData>
    <row r="1">
      <c r="A1" s="1" t="inlineStr">
        <is>
          <t>Ref Integrations</t>
        </is>
      </c>
    </row>
    <row r="2">
      <c r="A2" s="2" t="inlineStr">
        <is>
          <t>Section 13. APIs preferred over the browser wherever they exist.</t>
        </is>
      </c>
    </row>
    <row r="4">
      <c r="A4" s="3" t="inlineStr">
        <is>
          <t>External services</t>
        </is>
      </c>
    </row>
    <row r="5">
      <c r="A5" s="10" t="inlineStr">
        <is>
          <t>Service</t>
        </is>
      </c>
      <c r="B5" s="10" t="inlineStr">
        <is>
          <t>Path</t>
        </is>
      </c>
      <c r="C5" s="10" t="inlineStr">
        <is>
          <t>Capability</t>
        </is>
      </c>
      <c r="D5" s="10" t="inlineStr">
        <is>
          <t>Approval</t>
        </is>
      </c>
    </row>
    <row r="6">
      <c r="A6" s="11" t="inlineStr">
        <is>
          <t>Google Workspace and personal Gmail</t>
        </is>
      </c>
      <c r="B6" s="11" t="inlineStr">
        <is>
          <t>Gmail and Calendar APIs, one-time OAuth per account via a Principal-owned Google Cloud project</t>
        </is>
      </c>
      <c r="C6" s="11" t="inlineStr">
        <is>
          <t>Read, send, label, calendar both ways. Each account tagged corporate or estate for the router</t>
        </is>
      </c>
      <c r="D6" s="11" t="inlineStr">
        <is>
          <t>Per message tier (Section 16.2)</t>
        </is>
      </c>
    </row>
    <row r="7">
      <c r="A7" s="11" t="inlineStr">
        <is>
          <t>Google Drive</t>
        </is>
      </c>
      <c r="B7" s="11" t="inlineStr">
        <is>
          <t>Mounted as a folder on the node (rclone), both accounts</t>
        </is>
      </c>
      <c r="C7" s="11" t="inlineStr">
        <is>
          <t>Read and write, appears as local storage to every persona</t>
        </is>
      </c>
      <c r="D7" s="11" t="inlineStr">
        <is>
          <t>Writes to shared folders: standard tier</t>
        </is>
      </c>
    </row>
    <row r="8">
      <c r="A8" s="11" t="inlineStr">
        <is>
          <t>Xero</t>
        </is>
      </c>
      <c r="B8" s="11" t="inlineStr">
        <is>
          <t>Official API plus Xero's own MCP tool server</t>
        </is>
      </c>
      <c r="C8" s="11" t="inlineStr">
        <is>
          <t>Ledgers, invoices, contacts, bank feeds, reports as structured data for Silas</t>
        </is>
      </c>
      <c r="D8" s="11" t="inlineStr">
        <is>
          <t>Any posting or payment: sensitive tier</t>
        </is>
      </c>
    </row>
    <row r="9">
      <c r="A9" s="11" t="inlineStr">
        <is>
          <t>Cloudflare</t>
        </is>
      </c>
      <c r="B9" s="11" t="inlineStr">
        <is>
          <t>Full API, scoped token</t>
        </is>
      </c>
      <c r="C9" s="11" t="inlineStr">
        <is>
          <t>DNS, domains, security settings</t>
        </is>
      </c>
      <c r="D9" s="11" t="inlineStr">
        <is>
          <t>All changes: standard tier, DNS for sovereign-node.link itself: sensitive</t>
        </is>
      </c>
    </row>
    <row r="10">
      <c r="A10" s="11" t="inlineStr">
        <is>
          <t>Wix</t>
        </is>
      </c>
      <c r="B10" s="11" t="inlineStr">
        <is>
          <t>Partial API for content and business data, browser for site design</t>
        </is>
      </c>
      <c r="C10" s="11" t="inlineStr">
        <is>
          <t>Helena updates content by API, design changes through the browser</t>
        </is>
      </c>
      <c r="D10" s="11" t="inlineStr">
        <is>
          <t>Standard tier</t>
        </is>
      </c>
    </row>
    <row r="11">
      <c r="A11" s="11" t="inlineStr">
        <is>
          <t>Pay.com</t>
        </is>
      </c>
      <c r="B11" s="11" t="inlineStr">
        <is>
          <t>Developer API for payment data</t>
        </is>
      </c>
      <c r="C11" s="11" t="inlineStr">
        <is>
          <t>Reading and reporting</t>
        </is>
      </c>
      <c r="D11" s="11" t="inlineStr">
        <is>
          <t>Any payment action: sensitive tier, two-factor stays on the Principal's phone</t>
        </is>
      </c>
    </row>
    <row r="12">
      <c r="A12" s="11" t="inlineStr">
        <is>
          <t>RewardPay</t>
        </is>
      </c>
      <c r="B12" s="11" t="inlineStr">
        <is>
          <t>Browser only, no public API found</t>
        </is>
      </c>
      <c r="C12" s="11" t="inlineStr">
        <is>
          <t>Agent-driven browser with the Principal approving each action</t>
        </is>
      </c>
      <c r="D12" s="11" t="inlineStr">
        <is>
          <t>Sensitive tier, two-factor stays on the Principal's phone</t>
        </is>
      </c>
    </row>
    <row r="13">
      <c r="A13" s="11" t="inlineStr">
        <is>
          <t>Anything without an API</t>
        </is>
      </c>
      <c r="B13" s="11" t="inlineStr">
        <is>
          <t>Local browser automation, Playwright text-based DOM reading, UI-TARS 2.0 for vision-driven GUI work</t>
        </is>
      </c>
      <c r="C13" s="11" t="inlineStr">
        <is>
          <t>Works with every engine in the set</t>
        </is>
      </c>
      <c r="D13" s="11" t="inlineStr">
        <is>
          <t>Per action tier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46" customWidth="1" min="3" max="3"/>
    <col width="40" customWidth="1" min="4" max="4"/>
  </cols>
  <sheetData>
    <row r="1">
      <c r="A1" s="1" t="inlineStr">
        <is>
          <t>Ref Voice</t>
        </is>
      </c>
    </row>
    <row r="2">
      <c r="A2" s="2" t="inlineStr">
        <is>
          <t>Sections 14.1 and 14.3. Casting is a shortlist for a listening test (V7), not a locked choice.</t>
        </is>
      </c>
    </row>
    <row r="4">
      <c r="A4" s="3" t="inlineStr">
        <is>
          <t>Speech engines</t>
        </is>
      </c>
    </row>
    <row r="5">
      <c r="A5" s="10" t="inlineStr">
        <is>
          <t>Function</t>
        </is>
      </c>
      <c r="B5" s="10" t="inlineStr">
        <is>
          <t>Engine</t>
        </is>
      </c>
      <c r="C5" s="10" t="inlineStr">
        <is>
          <t>Status</t>
        </is>
      </c>
    </row>
    <row r="6">
      <c r="A6" s="11" t="inlineStr">
        <is>
          <t>Text-to-speech, always-on default for all ten personas</t>
        </is>
      </c>
      <c r="B6" s="11" t="inlineStr">
        <is>
          <t>Kokoro-82M</t>
        </is>
      </c>
      <c r="C6" s="11" t="inlineStr">
        <is>
          <t>Local, cheap, measured naturalness ~4.2 to 4.5 against a human 4.5 to 4.8</t>
        </is>
      </c>
    </row>
    <row r="7">
      <c r="A7" s="11" t="inlineStr">
        <is>
          <t>Text-to-speech, character and cloning tier</t>
        </is>
      </c>
      <c r="B7" s="11" t="inlineStr">
        <is>
          <t>Chatterbox</t>
        </is>
      </c>
      <c r="C7" s="11" t="inlineStr">
        <is>
          <t>Local, MIT licensed, won blind preference against ElevenLabs 65% to 25%; carries a documented continuation quirk, test before it carries anything important</t>
        </is>
      </c>
    </row>
    <row r="8">
      <c r="A8" s="11" t="inlineStr">
        <is>
          <t>Not adopted</t>
        </is>
      </c>
      <c r="B8" s="11" t="inlineStr">
        <is>
          <t>Fish Audio S2 (Pro tier is research-licensed), Qwen-Audio-3.0-TTS (hosted only)</t>
        </is>
      </c>
      <c r="C8" s="11" t="inlineStr">
        <is>
          <t>Excluded</t>
        </is>
      </c>
    </row>
    <row r="9">
      <c r="A9" s="11" t="inlineStr">
        <is>
          <t>Watch-list</t>
        </is>
      </c>
      <c r="B9" s="11" t="inlineStr">
        <is>
          <t>Qwen3-TTS (open, local, 0.6B and 1.7B)</t>
        </is>
      </c>
      <c r="C9" s="11" t="inlineStr">
        <is>
          <t>Test after core build; not a Day 1 dependency</t>
        </is>
      </c>
    </row>
    <row r="10">
      <c r="A10" s="11" t="inlineStr">
        <is>
          <t>Speech-to-text</t>
        </is>
      </c>
      <c r="B10" s="11" t="inlineStr">
        <is>
          <t>Whisper Large-v3-Turbo via whisper.cpp or faster-whisper</t>
        </is>
      </c>
      <c r="C10" s="11" t="inlineStr">
        <is>
          <t>Local</t>
        </is>
      </c>
    </row>
    <row r="11">
      <c r="A11" s="11" t="inlineStr">
        <is>
          <t>Speaker diarisation</t>
        </is>
      </c>
      <c r="B11" s="11" t="inlineStr">
        <is>
          <t>PyAnnote 3.1</t>
        </is>
      </c>
      <c r="C11" s="11" t="inlineStr">
        <is>
          <t>Local. VERIFY V6: the model is gated on Hugging Face; the licence must be accepted once with a token during Phase 2</t>
        </is>
      </c>
    </row>
    <row r="12">
      <c r="A12" s="11" t="inlineStr">
        <is>
          <t>Music and sound</t>
        </is>
      </c>
      <c r="B12" s="11" t="inlineStr">
        <is>
          <t>Stable Audio Open</t>
        </is>
      </c>
      <c r="C12" s="11" t="inlineStr">
        <is>
          <t>Phase 4</t>
        </is>
      </c>
    </row>
    <row r="13">
      <c r="A13" s="11" t="inlineStr">
        <is>
          <t>Voice cloning alternative</t>
        </is>
      </c>
      <c r="B13" s="11" t="inlineStr">
        <is>
          <t>CosyVoice2</t>
        </is>
      </c>
      <c r="C13" s="11" t="inlineStr">
        <is>
          <t>Phase 4, optional</t>
        </is>
      </c>
    </row>
    <row r="15">
      <c r="A15" s="3" t="inlineStr">
        <is>
          <t>Voice casting shortlist</t>
        </is>
      </c>
    </row>
    <row r="16">
      <c r="A16" s="10" t="inlineStr">
        <is>
          <t>Persona</t>
        </is>
      </c>
      <c r="B16" s="10" t="inlineStr">
        <is>
          <t>Description</t>
        </is>
      </c>
      <c r="C16" s="10" t="inlineStr">
        <is>
          <t>Kokoro candidates</t>
        </is>
      </c>
      <c r="D16" s="10" t="inlineStr">
        <is>
          <t>Path</t>
        </is>
      </c>
    </row>
    <row r="17">
      <c r="A17" s="11" t="inlineStr">
        <is>
          <t>Arthur</t>
        </is>
      </c>
      <c r="B17" s="11" t="inlineStr">
        <is>
          <t>Male. Formal, patient, structured, deep resonance, calming British or Transatlantic cadence</t>
        </is>
      </c>
      <c r="C17" s="11" t="inlineStr">
        <is>
          <t>bm_george, alternate bm_daniel</t>
        </is>
      </c>
      <c r="D17" s="11" t="inlineStr">
        <is>
          <t>Kokoro preset</t>
        </is>
      </c>
    </row>
    <row r="18">
      <c r="A18" s="11" t="inlineStr">
        <is>
          <t>Ren</t>
        </is>
      </c>
      <c r="B18" s="11" t="inlineStr">
        <is>
          <t>Male. Sharp, direct, fast, aggressive modern executive cadence with expressive pauses</t>
        </is>
      </c>
      <c r="C18" s="11" t="inlineStr">
        <is>
          <t>am_onyx, alternate am_michael</t>
        </is>
      </c>
      <c r="D18" s="11" t="inlineStr">
        <is>
          <t>Kokoro preset, Chatterbox for intensity if needed</t>
        </is>
      </c>
    </row>
    <row r="19">
      <c r="A19" s="11" t="inlineStr">
        <is>
          <t>Alaric Stone</t>
        </is>
      </c>
      <c r="B19" s="11" t="inlineStr">
        <is>
          <t>Male. Grounded, authoritative, gravelly veteran security director</t>
        </is>
      </c>
      <c r="C19" s="11" t="inlineStr">
        <is>
          <t>No preset delivers gravel</t>
        </is>
      </c>
      <c r="D19" s="11" t="inlineStr">
        <is>
          <t>Chatterbox clone from a reference recording</t>
        </is>
      </c>
    </row>
    <row r="20">
      <c r="A20" s="11" t="inlineStr">
        <is>
          <t>Minerva Hale</t>
        </is>
      </c>
      <c r="B20" s="11" t="inlineStr">
        <is>
          <t>Female. Calm, analytical, articulate, clinical</t>
        </is>
      </c>
      <c r="C20" s="11" t="inlineStr">
        <is>
          <t>af_kore, alternate bf_isabella</t>
        </is>
      </c>
      <c r="D20" s="11" t="inlineStr">
        <is>
          <t>Kokoro preset</t>
        </is>
      </c>
    </row>
    <row r="21">
      <c r="A21" s="11" t="inlineStr">
        <is>
          <t>Victor Vale</t>
        </is>
      </c>
      <c r="B21" s="11" t="inlineStr">
        <is>
          <t>Male. Crisp, rapid, flawlessly polite, aviation concierge</t>
        </is>
      </c>
      <c r="C21" s="11" t="inlineStr">
        <is>
          <t>bm_lewis, alternate bm_daniel</t>
        </is>
      </c>
      <c r="D21" s="11" t="inlineStr">
        <is>
          <t>Kokoro preset</t>
        </is>
      </c>
    </row>
    <row r="22">
      <c r="A22" s="11" t="inlineStr">
        <is>
          <t>Gideon Vance</t>
        </is>
      </c>
      <c r="B22" s="11" t="inlineStr">
        <is>
          <t>Measured, meticulous, deep, litigator in absolute facts</t>
        </is>
      </c>
      <c r="C22" s="11" t="inlineStr">
        <is>
          <t>bm_george if Arthur takes bm_daniel, else am_onyx reassigned</t>
        </is>
      </c>
      <c r="D22" s="11" t="inlineStr">
        <is>
          <t>Kokoro preset or Chatterbox clone to separate from Arthur</t>
        </is>
      </c>
    </row>
    <row r="23">
      <c r="A23" s="11" t="inlineStr">
        <is>
          <t>Silas Thorne</t>
        </is>
      </c>
      <c r="B23" s="11" t="inlineStr">
        <is>
          <t>Male. Sharp, cold, calculated quant</t>
        </is>
      </c>
      <c r="C23" s="11" t="inlineStr">
        <is>
          <t>am_eric, alternate am_echo</t>
        </is>
      </c>
      <c r="D23" s="11" t="inlineStr">
        <is>
          <t>Kokoro preset</t>
        </is>
      </c>
    </row>
    <row r="24">
      <c r="A24" s="11" t="inlineStr">
        <is>
          <t>Valerie Cross</t>
        </is>
      </c>
      <c r="B24" s="11" t="inlineStr">
        <is>
          <t>Female. Direct, brilliant, slightly impatient engineer</t>
        </is>
      </c>
      <c r="C24" s="11" t="inlineStr">
        <is>
          <t>af_nova, alternate af_river</t>
        </is>
      </c>
      <c r="D24" s="11" t="inlineStr">
        <is>
          <t>Kokoro preset</t>
        </is>
      </c>
    </row>
    <row r="25">
      <c r="A25" s="11" t="inlineStr">
        <is>
          <t>Helena Frost</t>
        </is>
      </c>
      <c r="B25" s="11" t="inlineStr">
        <is>
          <t>Female. Charismatic, persuasive, perfectly modulated PR executive</t>
        </is>
      </c>
      <c r="C25" s="11" t="inlineStr">
        <is>
          <t>af_bella, alternate bf_emma</t>
        </is>
      </c>
      <c r="D25" s="11" t="inlineStr">
        <is>
          <t>Kokoro preset, Chatterbox for modulation if needed</t>
        </is>
      </c>
    </row>
    <row r="26">
      <c r="A26" s="11" t="inlineStr">
        <is>
          <t>Eleanor Croft</t>
        </is>
      </c>
      <c r="B26" s="11" t="inlineStr">
        <is>
          <t>Female. Warm, efficient, observant</t>
        </is>
      </c>
      <c r="C26" s="11" t="inlineStr">
        <is>
          <t>af_sarah, alternate af_heart</t>
        </is>
      </c>
      <c r="D26" s="11" t="inlineStr">
        <is>
          <t>Kokoro preset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14" customWidth="1" min="4" max="4"/>
    <col width="24" customWidth="1" min="5" max="5"/>
  </cols>
  <sheetData>
    <row r="1">
      <c r="A1" s="1" t="inlineStr">
        <is>
          <t>Ref Multimodal</t>
        </is>
      </c>
    </row>
    <row r="2">
      <c r="A2" s="2" t="inlineStr">
        <is>
          <t>Section 15. Tools install in Phase 2 (CPU, always available). Engines build in Phase 4 inside ROCm containers.</t>
        </is>
      </c>
    </row>
    <row r="4">
      <c r="A4" s="3" t="inlineStr">
        <is>
          <t>Phase 2 tools</t>
        </is>
      </c>
    </row>
    <row r="5">
      <c r="A5" s="10" t="inlineStr">
        <is>
          <t>Tool</t>
        </is>
      </c>
      <c r="B5" s="10" t="inlineStr">
        <is>
          <t>Job</t>
        </is>
      </c>
      <c r="C5" s="10" t="inlineStr">
        <is>
          <t>Owner</t>
        </is>
      </c>
    </row>
    <row r="6">
      <c r="A6" s="11" t="inlineStr">
        <is>
          <t>IfcOpenShell and Bonsai (Blender BIM)</t>
        </is>
      </c>
      <c r="B6" s="11" t="inlineStr">
        <is>
          <t>IFC parsing, authoring, geometric clash detection</t>
        </is>
      </c>
      <c r="C6" s="11" t="inlineStr">
        <is>
          <t>Domain 8, Valerie</t>
        </is>
      </c>
    </row>
    <row r="7">
      <c r="A7" s="11" t="inlineStr">
        <is>
          <t>MCP4IFC</t>
        </is>
      </c>
      <c r="B7" s="11" t="inlineStr">
        <is>
          <t>MCP server for LLM-driven parametric IFC creation and editing, this is the "Arch-DiT / BIM-GPT" capability</t>
        </is>
      </c>
      <c r="C7" s="11" t="inlineStr">
        <is>
          <t>Domain 8, Valerie</t>
        </is>
      </c>
    </row>
    <row r="8">
      <c r="A8" s="11" t="inlineStr">
        <is>
          <t>Radiance</t>
        </is>
      </c>
      <c r="B8" s="11" t="inlineStr">
        <is>
          <t>Physically accurate lighting and daylighting simulation for real coordinates and time, the photometric half of "Lumina-PBR"</t>
        </is>
      </c>
      <c r="C8" s="11" t="inlineStr">
        <is>
          <t>Domain 8, Valerie</t>
        </is>
      </c>
    </row>
    <row r="9">
      <c r="A9" s="11" t="inlineStr">
        <is>
          <t>OpenStudio and EnergyPlus</t>
        </is>
      </c>
      <c r="B9" s="11" t="inlineStr">
        <is>
          <t>HVAC and building-energy simulation, the fluid-dynamics half of "DeepRoute-AEC"</t>
        </is>
      </c>
      <c r="C9" s="11" t="inlineStr">
        <is>
          <t>Domain 8 and 9, Valerie</t>
        </is>
      </c>
    </row>
    <row r="10">
      <c r="A10" s="11" t="inlineStr">
        <is>
          <t>Python via code interpreter</t>
        </is>
      </c>
      <c r="B10" s="11" t="inlineStr">
        <is>
          <t>Voltage drop and other formula engineering, all of Silas's arithmetic</t>
        </is>
      </c>
      <c r="C10" s="11" t="inlineStr">
        <is>
          <t>All directors</t>
        </is>
      </c>
    </row>
    <row r="11">
      <c r="A11" s="11" t="inlineStr">
        <is>
          <t>KiCad CLI</t>
        </is>
      </c>
      <c r="B11" s="11" t="inlineStr">
        <is>
          <t>PCB design, DRC, export, driven through its Python API by the coding engine</t>
        </is>
      </c>
      <c r="C11" s="11" t="inlineStr">
        <is>
          <t>Domain 29, Valerie</t>
        </is>
      </c>
    </row>
    <row r="12">
      <c r="A12" s="11" t="inlineStr">
        <is>
          <t>Docling</t>
        </is>
      </c>
      <c r="B12" s="11" t="inlineStr">
        <is>
          <t>Document conversion for PDFs, Office files, scans into structured chunks with tables and page provenance</t>
        </is>
      </c>
      <c r="C12" s="11" t="inlineStr">
        <is>
          <t>Ingestion for every domain</t>
        </is>
      </c>
    </row>
    <row r="13">
      <c r="A13" s="11" t="inlineStr">
        <is>
          <t>Cross-platform build service</t>
        </is>
      </c>
      <c r="B13" s="11" t="inlineStr">
        <is>
          <t>Android NDK plus Gradle for .apk, MinGW-w64 for .exe, containerised, the "OmniBuild-KVM" capability minus Apple</t>
        </is>
      </c>
      <c r="C13" s="11" t="inlineStr">
        <is>
          <t>Domain 1 and 5, Valerie</t>
        </is>
      </c>
    </row>
    <row r="14">
      <c r="A14" s="11" t="inlineStr">
        <is>
          <t>Apple .ipa builds</t>
        </is>
      </c>
      <c r="B14" s="11" t="inlineStr">
        <is>
          <t>Not on this node. Licensed cloud Mac runner or the Principal's own Mac dispatched over the network. DECISION D11</t>
        </is>
      </c>
      <c r="C14" s="11" t="inlineStr">
        <is>
          <t>Domain 1, Valerie</t>
        </is>
      </c>
    </row>
    <row r="15">
      <c r="A15" s="11" t="inlineStr">
        <is>
          <t>Playwright and browser automation</t>
        </is>
      </c>
      <c r="B15" s="11" t="inlineStr">
        <is>
          <t>Text-based DOM browsing for platforms without an API</t>
        </is>
      </c>
      <c r="C15" s="11" t="inlineStr">
        <is>
          <t>All directors, per tier</t>
        </is>
      </c>
    </row>
    <row r="17">
      <c r="A17" s="3" t="inlineStr">
        <is>
          <t>Phase 4 engines and their tiers</t>
        </is>
      </c>
    </row>
    <row r="18">
      <c r="A18" s="10" t="inlineStr">
        <is>
          <t>Engine</t>
        </is>
      </c>
      <c r="B18" s="10" t="inlineStr">
        <is>
          <t>Job</t>
        </is>
      </c>
      <c r="C18" s="10" t="inlineStr">
        <is>
          <t>Tier and evidence</t>
        </is>
      </c>
      <c r="D18" s="10" t="inlineStr">
        <is>
          <t>Footprint</t>
        </is>
      </c>
      <c r="E18" s="10" t="inlineStr">
        <is>
          <t>Owner</t>
        </is>
      </c>
    </row>
    <row r="19">
      <c r="A19" s="11" t="inlineStr">
        <is>
          <t>Wan2.2 (in place of Wan2.1)</t>
        </is>
      </c>
      <c r="B19" s="11" t="inlineStr">
        <is>
          <t>Video generation</t>
        </is>
      </c>
      <c r="C19" s="11" t="inlineStr">
        <is>
          <t>Green: validated on gfx1151 by maintained toolboxes</t>
        </is>
      </c>
      <c r="D19" s="11" t="inlineStr">
        <is>
          <t>20 to 40 GB</t>
        </is>
      </c>
      <c r="E19" s="11" t="inlineStr">
        <is>
          <t>Domain 12, Helena</t>
        </is>
      </c>
    </row>
    <row r="20">
      <c r="A20" s="11" t="inlineStr">
        <is>
          <t>FLUX.1</t>
        </is>
      </c>
      <c r="B20" s="11" t="inlineStr">
        <is>
          <t>Image generation, architectural visualisation with LoRA (the "Arch-DiT" imagery use)</t>
        </is>
      </c>
      <c r="C20" s="11" t="inlineStr">
        <is>
          <t>Green: validated on gfx1151</t>
        </is>
      </c>
      <c r="D20" s="11" t="inlineStr">
        <is>
          <t>12 to 24 GB</t>
        </is>
      </c>
      <c r="E20" s="11" t="inlineStr">
        <is>
          <t>Domains 8 and 12</t>
        </is>
      </c>
    </row>
    <row r="21">
      <c r="A21" s="11" t="inlineStr">
        <is>
          <t>GLM-4.6V-Flash (9B)</t>
        </is>
      </c>
      <c r="B21" s="11" t="inlineStr">
        <is>
          <t>Vision-language, documents, drawings, screenshots, 128k context, MIT licence</t>
        </is>
      </c>
      <c r="C21" s="11" t="inlineStr">
        <is>
          <t>Green: standard architecture</t>
        </is>
      </c>
      <c r="D21" s="11" t="inlineStr">
        <is>
          <t>~18 GB</t>
        </is>
      </c>
      <c r="E21" s="11" t="inlineStr">
        <is>
          <t>General, D10</t>
        </is>
      </c>
    </row>
    <row r="22">
      <c r="A22" s="11" t="inlineStr">
        <is>
          <t>Qwen2.5-VL 7B</t>
        </is>
      </c>
      <c r="B22" s="11" t="inlineStr">
        <is>
          <t>Vision-language, alternative or cross-check to GLM</t>
        </is>
      </c>
      <c r="C22" s="11" t="inlineStr">
        <is>
          <t>Green</t>
        </is>
      </c>
      <c r="D22" s="11" t="inlineStr">
        <is>
          <t>8 to 16 GB</t>
        </is>
      </c>
      <c r="E22" s="11" t="inlineStr">
        <is>
          <t>General, D10</t>
        </is>
      </c>
    </row>
    <row r="23">
      <c r="A23" s="11" t="inlineStr">
        <is>
          <t>Florence-2</t>
        </is>
      </c>
      <c r="B23" s="11" t="inlineStr">
        <is>
          <t>Lightweight vision, detection, captioning, OCR</t>
        </is>
      </c>
      <c r="C23" s="11" t="inlineStr">
        <is>
          <t>Green</t>
        </is>
      </c>
      <c r="D23" s="11" t="inlineStr">
        <is>
          <t>under 2 GB</t>
        </is>
      </c>
      <c r="E23" s="11" t="inlineStr">
        <is>
          <t>General</t>
        </is>
      </c>
    </row>
    <row r="24">
      <c r="A24" s="11" t="inlineStr">
        <is>
          <t>TimesFM or Chronos</t>
        </is>
      </c>
      <c r="B24" s="11" t="inlineStr">
        <is>
          <t>Time-series forecasting</t>
        </is>
      </c>
      <c r="C24" s="11" t="inlineStr">
        <is>
          <t>Green</t>
        </is>
      </c>
      <c r="D24" s="11" t="inlineStr">
        <is>
          <t>under 5 GB</t>
        </is>
      </c>
      <c r="E24" s="11" t="inlineStr">
        <is>
          <t>Domain 21, Silas</t>
        </is>
      </c>
    </row>
    <row r="25">
      <c r="A25" s="11" t="inlineStr">
        <is>
          <t>Stable Audio Open</t>
        </is>
      </c>
      <c r="B25" s="11" t="inlineStr">
        <is>
          <t>Music and sound generation</t>
        </is>
      </c>
      <c r="C25" s="11" t="inlineStr">
        <is>
          <t>Green</t>
        </is>
      </c>
      <c r="D25" s="11" t="inlineStr">
        <is>
          <t>under 5 GB</t>
        </is>
      </c>
      <c r="E25" s="11" t="inlineStr">
        <is>
          <t>Domain 12, Helena</t>
        </is>
      </c>
    </row>
    <row r="26">
      <c r="A26" s="11" t="inlineStr">
        <is>
          <t>CosyVoice2</t>
        </is>
      </c>
      <c r="B26" s="11" t="inlineStr">
        <is>
          <t>Voice cloning alternative</t>
        </is>
      </c>
      <c r="C26" s="11" t="inlineStr">
        <is>
          <t>Green</t>
        </is>
      </c>
      <c r="D26" s="11" t="inlineStr">
        <is>
          <t>under 5 GB</t>
        </is>
      </c>
      <c r="E26" s="11" t="inlineStr">
        <is>
          <t>Voice layer, optional</t>
        </is>
      </c>
    </row>
    <row r="27">
      <c r="A27" s="11" t="inlineStr">
        <is>
          <t>UI-TARS 2.0</t>
        </is>
      </c>
      <c r="B27" s="11" t="inlineStr">
        <is>
          <t>Vision-driven GUI automation for RewardPay and Wix design</t>
        </is>
      </c>
      <c r="C27" s="11" t="inlineStr">
        <is>
          <t>Green</t>
        </is>
      </c>
      <c r="D27" s="11" t="inlineStr">
        <is>
          <t>8 to 16 GB</t>
        </is>
      </c>
      <c r="E27" s="11" t="inlineStr">
        <is>
          <t>Domain 1, Valerie</t>
        </is>
      </c>
    </row>
    <row r="28">
      <c r="A28" s="11" t="inlineStr">
        <is>
          <t>OpenVLA</t>
        </is>
      </c>
      <c r="B28" s="11" t="inlineStr">
        <is>
          <t>Vision-language-action for robotics</t>
        </is>
      </c>
      <c r="C28" s="11" t="inlineStr">
        <is>
          <t>Green technically, dormant until hardware exists</t>
        </is>
      </c>
      <c r="D28" s="11" t="inlineStr">
        <is>
          <t>8 to 16 GB</t>
        </is>
      </c>
      <c r="E28" s="11" t="inlineStr">
        <is>
          <t>Domain 29, Valerie</t>
        </is>
      </c>
    </row>
    <row r="29">
      <c r="A29" s="11" t="inlineStr">
        <is>
          <t>Rad-DINO</t>
        </is>
      </c>
      <c r="B29" s="11" t="inlineStr">
        <is>
          <t>Radiology vision</t>
        </is>
      </c>
      <c r="C29" s="11" t="inlineStr">
        <is>
          <t>Green</t>
        </is>
      </c>
      <c r="D29" s="11" t="inlineStr">
        <is>
          <t>under 2 GB</t>
        </is>
      </c>
      <c r="E29" s="11" t="inlineStr">
        <is>
          <t>Domains 10 and 15, Minerva</t>
        </is>
      </c>
    </row>
    <row r="30">
      <c r="A30" s="11" t="inlineStr">
        <is>
          <t>SAM 2</t>
        </is>
      </c>
      <c r="B30" s="11" t="inlineStr">
        <is>
          <t>Image and video segmentation and tracking</t>
        </is>
      </c>
      <c r="C30" s="11" t="inlineStr">
        <is>
          <t>Green with limitation: build with the CUDA post-processing extension disabled, minor mask cleanup lost</t>
        </is>
      </c>
      <c r="D30" s="11" t="inlineStr">
        <is>
          <t>under 4 GB</t>
        </is>
      </c>
      <c r="E30" s="11" t="inlineStr">
        <is>
          <t>Domains 22 and 7</t>
        </is>
      </c>
    </row>
    <row r="31">
      <c r="A31" s="11" t="inlineStr">
        <is>
          <t>PointLLM</t>
        </is>
      </c>
      <c r="B31" s="11" t="inlineStr">
        <is>
          <t>Point-cloud understanding</t>
        </is>
      </c>
      <c r="C31" s="11" t="inlineStr">
        <is>
          <t>Verify V8: point-cloud ops often carry custom kernels</t>
        </is>
      </c>
      <c r="D31" s="11" t="inlineStr">
        <is>
          <t>8 to 16 GB</t>
        </is>
      </c>
      <c r="E31" s="11" t="inlineStr">
        <is>
          <t>Domains 8 and 29</t>
        </is>
      </c>
    </row>
    <row r="32">
      <c r="A32" s="11" t="inlineStr">
        <is>
          <t>Clay or Prithvi</t>
        </is>
      </c>
      <c r="B32" s="11" t="inlineStr">
        <is>
          <t>Satellite and geospatial analysis</t>
        </is>
      </c>
      <c r="C32" s="11" t="inlineStr">
        <is>
          <t>Verify V9</t>
        </is>
      </c>
      <c r="D32" s="11" t="inlineStr">
        <is>
          <t>under 5 GB</t>
        </is>
      </c>
      <c r="E32" s="11" t="inlineStr">
        <is>
          <t>Domain 7</t>
        </is>
      </c>
    </row>
    <row r="33">
      <c r="A33" s="11" t="inlineStr">
        <is>
          <t>Microsoft TRELLIS</t>
        </is>
      </c>
      <c r="B33" s="11" t="inlineStr">
        <is>
          <t>Image-to-3D</t>
        </is>
      </c>
      <c r="C33" s="11" t="inlineStr">
        <is>
          <t>Yellow: community ROCm forks exist but hit build errors on sparse-voxel kernels, attempt, log, move on</t>
        </is>
      </c>
      <c r="D33" s="11" t="inlineStr">
        <is>
          <t>8 to 12 GB</t>
        </is>
      </c>
      <c r="E33" s="11" t="inlineStr">
        <is>
          <t>Domains 8 and 12</t>
        </is>
      </c>
    </row>
    <row r="34">
      <c r="A34" s="11" t="inlineStr">
        <is>
          <t>Blender Cycles (HIP)</t>
        </is>
      </c>
      <c r="B34" s="11" t="inlineStr">
        <is>
          <t>Photorealistic rendering, the beauty half of "Lumina-PBR"</t>
        </is>
      </c>
      <c r="C34" s="11" t="inlineStr">
        <is>
          <t>Yellow: works on this chip, occasional mid-render crashes reported, CPU-render fallback mandatory</t>
        </is>
      </c>
      <c r="D34" s="11" t="inlineStr">
        <is>
          <t>varies</t>
        </is>
      </c>
      <c r="E34" s="11" t="inlineStr">
        <is>
          <t>Domain 8, Valerie</t>
        </is>
      </c>
    </row>
    <row r="35">
      <c r="A35" s="11" t="inlineStr">
        <is>
          <t>Meditron-70B</t>
        </is>
      </c>
      <c r="B35" s="11" t="inlineStr">
        <is>
          <t>Medical cross-check</t>
        </is>
      </c>
      <c r="C35" s="11" t="inlineStr">
        <is>
          <t>Runs through llama.cpp in Phase 3, not here</t>
        </is>
      </c>
      <c r="D35" s="11" t="inlineStr">
        <is>
          <t>~40 GB</t>
        </is>
      </c>
      <c r="E35" s="11" t="inlineStr">
        <is>
          <t>Domain 10, Minerva</t>
        </is>
      </c>
    </row>
    <row r="36">
      <c r="A36" s="11" t="inlineStr">
        <is>
          <t>Evo (Arc Institute)</t>
        </is>
      </c>
      <c r="B36" s="11" t="inlineStr">
        <is>
          <t>Genomics</t>
        </is>
      </c>
      <c r="C36" s="11" t="inlineStr">
        <is>
          <t>Deferred: port unverified, and this GPU lacks the FP8 hardware Evo's larger checkpoints expect</t>
        </is>
      </c>
      <c r="D36" s="11" t="inlineStr">
        <is>
          <t>n/a</t>
        </is>
      </c>
      <c r="E36" s="11" t="inlineStr">
        <is>
          <t>Domain 15</t>
        </is>
      </c>
    </row>
    <row r="37">
      <c r="A37" s="11" t="inlineStr">
        <is>
          <t>NVIDIA Modulus / PhysicsNeMo</t>
        </is>
      </c>
      <c r="B37" s="11" t="inlineStr">
        <is>
          <t>Physics simulation</t>
        </is>
      </c>
      <c r="C37" s="11" t="inlineStr">
        <is>
          <t>Deferred: CUDA-locked, would need an NVIDIA card in the PCIe slot</t>
        </is>
      </c>
      <c r="D37" s="11" t="inlineStr">
        <is>
          <t>n/a</t>
        </is>
      </c>
      <c r="E37" s="11" t="inlineStr">
        <is>
          <t>Domains 8 and 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60" customWidth="1" min="3" max="3"/>
  </cols>
  <sheetData>
    <row r="1">
      <c r="A1" s="1" t="inlineStr">
        <is>
          <t>Ref Governance</t>
        </is>
      </c>
    </row>
    <row r="2">
      <c r="A2" s="2" t="inlineStr">
        <is>
          <t>Section 16. The never-without-the-Principal list is decision D8; the approval tiers are agreed.</t>
        </is>
      </c>
    </row>
    <row r="4">
      <c r="A4" s="3" t="inlineStr">
        <is>
          <t>Standing rules</t>
        </is>
      </c>
    </row>
    <row r="5">
      <c r="A5" s="10" t="inlineStr">
        <is>
          <t>#</t>
        </is>
      </c>
      <c r="B5" s="10" t="inlineStr">
        <is>
          <t>Rule</t>
        </is>
      </c>
    </row>
    <row r="6">
      <c r="A6" s="11" t="n">
        <v>1</v>
      </c>
      <c r="B6" s="11" t="inlineStr">
        <is>
          <t>The Principal speaks only to Ren or Arthur. Shadow Cabinet output is never surfaced directly; the hemisphere synthesises and speaks.</t>
        </is>
      </c>
    </row>
    <row r="7">
      <c r="A7" s="11" t="n">
        <v>2</v>
      </c>
      <c r="B7" s="11" t="inlineStr">
        <is>
          <t>Directors correspond externally under their own identities for routine and standard matters; Ren and Arthur are reserved for matters that warrant them.</t>
        </is>
      </c>
    </row>
    <row r="8">
      <c r="A8" s="11" t="n">
        <v>3</v>
      </c>
      <c r="B8" s="11" t="inlineStr">
        <is>
          <t>Every outbound action passes the approval gate in code (16.2). This is a hard code path, not a prompt instruction.</t>
        </is>
      </c>
    </row>
    <row r="9">
      <c r="A9" s="11" t="n">
        <v>4</v>
      </c>
      <c r="B9" s="11" t="inlineStr">
        <is>
          <t>ATLAS never discloses its AI nature externally. Recorded as a legal exposure in R12; the approval gate is the control.</t>
        </is>
      </c>
    </row>
    <row r="10">
      <c r="A10" s="11" t="n">
        <v>5</v>
      </c>
      <c r="B10" s="11" t="inlineStr">
        <is>
          <t>ATLAS never delegates work back to the Principal. A rewrite pass removes any task-shaped request to the Principal; only decisions and approvals may be asked.</t>
        </is>
      </c>
    </row>
    <row r="11">
      <c r="A11" s="11" t="n">
        <v>6</v>
      </c>
      <c r="B11" s="11" t="inlineStr">
        <is>
          <t>Register differs between Principal and external recipients (6.4).</t>
        </is>
      </c>
    </row>
    <row r="12">
      <c r="A12" s="11" t="n">
        <v>7</v>
      </c>
      <c r="B12" s="11" t="inlineStr">
        <is>
          <t>Cross-domain requests must trigger their task-force preset (8.3).</t>
        </is>
      </c>
    </row>
    <row r="13">
      <c r="A13" s="11" t="n">
        <v>8</v>
      </c>
      <c r="B13" s="11" t="inlineStr">
        <is>
          <t>Money never moves without the Principal. Two-factor prompts are never automated.</t>
        </is>
      </c>
    </row>
    <row r="15">
      <c r="A15" s="3" t="inlineStr">
        <is>
          <t>Approval tiers</t>
        </is>
      </c>
    </row>
    <row r="16">
      <c r="A16" s="10" t="inlineStr">
        <is>
          <t>Tier</t>
        </is>
      </c>
      <c r="B16" s="10" t="inlineStr">
        <is>
          <t>Examples</t>
        </is>
      </c>
      <c r="C16" s="10" t="inlineStr">
        <is>
          <t>Behaviour</t>
        </is>
      </c>
    </row>
    <row r="17">
      <c r="A17" s="11" t="inlineStr">
        <is>
          <t>Routine</t>
        </is>
      </c>
      <c r="B17" s="11" t="inlineStr">
        <is>
          <t>Meeting scheduling, confirmations, acknowledgements</t>
        </is>
      </c>
      <c r="C17" s="11" t="inlineStr">
        <is>
          <t>Pre-approved categories, sent automatically, logged for review</t>
        </is>
      </c>
    </row>
    <row r="18">
      <c r="A18" s="11" t="inlineStr">
        <is>
          <t>Standard</t>
        </is>
      </c>
      <c r="B18" s="11" t="inlineStr">
        <is>
          <t>Replies with substance, requests, negotiations, content updates, DNS changes</t>
        </is>
      </c>
      <c r="C18" s="11" t="inlineStr">
        <is>
          <t>Drafted, held until the Principal approves</t>
        </is>
      </c>
    </row>
    <row r="19">
      <c r="A19" s="11" t="inlineStr">
        <is>
          <t>Sensitive</t>
        </is>
      </c>
      <c r="B19" s="11" t="inlineStr">
        <is>
          <t>Legal, financial, medical, estate, security, any payment, anything under a sensitive-tier task force</t>
        </is>
      </c>
      <c r="C19" s="11" t="inlineStr">
        <is>
          <t>Drafted, held, flagged with the director's reasoning; strong cross-check applied automatically</t>
        </is>
      </c>
    </row>
    <row r="21">
      <c r="A21" s="3" t="inlineStr">
        <is>
          <t>Never without the Principal (proposed, D8)</t>
        </is>
      </c>
    </row>
    <row r="22">
      <c r="A22" s="10" t="inlineStr">
        <is>
          <t>#</t>
        </is>
      </c>
      <c r="B22" s="10" t="inlineStr">
        <is>
          <t>Action</t>
        </is>
      </c>
    </row>
    <row r="23">
      <c r="A23" s="11" t="n">
        <v>1</v>
      </c>
      <c r="B23" s="11" t="inlineStr">
        <is>
          <t>Move money, initiate a payment, or change a payment method.</t>
        </is>
      </c>
    </row>
    <row r="24">
      <c r="A24" s="11" t="n">
        <v>2</v>
      </c>
      <c r="B24" s="11" t="inlineStr">
        <is>
          <t>Sign, accept, or bind to a contract or terms.</t>
        </is>
      </c>
    </row>
    <row r="25">
      <c r="A25" s="11" t="n">
        <v>3</v>
      </c>
      <c r="B25" s="11" t="inlineStr">
        <is>
          <t>Send external correspondence above the routine tier.</t>
        </is>
      </c>
    </row>
    <row r="26">
      <c r="A26" s="11" t="n">
        <v>4</v>
      </c>
      <c r="B26" s="11" t="inlineStr">
        <is>
          <t>Change DNS, domain, or Cloudflare security settings.</t>
        </is>
      </c>
    </row>
    <row r="27">
      <c r="A27" s="11" t="n">
        <v>5</v>
      </c>
      <c r="B27" s="11" t="inlineStr">
        <is>
          <t>Delete, move, or modify vault contents or backups.</t>
        </is>
      </c>
    </row>
    <row r="28">
      <c r="A28" s="11" t="n">
        <v>6</v>
      </c>
      <c r="B28" s="11" t="inlineStr">
        <is>
          <t>Modify its own code, configuration, approval tiers, router rules, or the allowlist. Domain 20 proposes; the Principal approves.</t>
        </is>
      </c>
    </row>
    <row r="29">
      <c r="A29" s="11" t="n">
        <v>7</v>
      </c>
      <c r="B29" s="11" t="inlineStr">
        <is>
          <t>Enable continuous vision or audio capture.</t>
        </is>
      </c>
    </row>
    <row r="30">
      <c r="A30" s="11" t="n">
        <v>8</v>
      </c>
      <c r="B30" s="11" t="inlineStr">
        <is>
          <t>Install software or pull models from outside the allowlist.</t>
        </is>
      </c>
    </row>
    <row r="31">
      <c r="A31" s="11" t="n">
        <v>9</v>
      </c>
      <c r="B31" s="11" t="inlineStr">
        <is>
          <t>Share any Principal data with a third party not already connected under Section 13.</t>
        </is>
      </c>
    </row>
    <row r="32">
      <c r="A32" s="11" t="n">
        <v>10</v>
      </c>
      <c r="B32" s="11" t="inlineStr">
        <is>
          <t>Create new external identities, accounts, or mailboxes.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95" customWidth="1" min="2" max="2"/>
  </cols>
  <sheetData>
    <row r="1">
      <c r="A1" s="1" t="inlineStr">
        <is>
          <t>Ref Day 1</t>
        </is>
      </c>
    </row>
    <row r="2">
      <c r="A2" s="2" t="inlineStr">
        <is>
          <t>Section 17. Four phases; each ends with a printed pass/fail gate. Phases 3 and 4 run detached and resumable.</t>
        </is>
      </c>
    </row>
    <row r="4">
      <c r="A4" s="3" t="inlineStr">
        <is>
          <t>Expected durations</t>
        </is>
      </c>
    </row>
    <row r="5">
      <c r="A5" s="10" t="inlineStr">
        <is>
          <t>Phase</t>
        </is>
      </c>
      <c r="B5" s="10" t="inlineStr">
        <is>
          <t>Time</t>
        </is>
      </c>
    </row>
    <row r="6">
      <c r="A6" s="11" t="inlineStr">
        <is>
          <t>1</t>
        </is>
      </c>
      <c r="B6" s="11" t="inlineStr">
        <is>
          <t>30 to 60 minutes including reboot</t>
        </is>
      </c>
    </row>
    <row r="7">
      <c r="A7" s="11" t="inlineStr">
        <is>
          <t>2</t>
        </is>
      </c>
      <c r="B7" s="11" t="inlineStr">
        <is>
          <t>30 to 60 minutes</t>
        </is>
      </c>
    </row>
    <row r="8">
      <c r="A8" s="11" t="inlineStr">
        <is>
          <t>3</t>
        </is>
      </c>
      <c r="B8" s="11" t="inlineStr">
        <is>
          <t>Download-bound: ~6 hours at 100 Mbps, under 1 hour at gigabit; plus ~20 minutes of load tests</t>
        </is>
      </c>
    </row>
    <row r="9">
      <c r="A9" s="11" t="inlineStr">
        <is>
          <t>4</t>
        </is>
      </c>
      <c r="B9" s="11" t="inlineStr">
        <is>
          <t>Download and build-bound: several hours; can run overnight</t>
        </is>
      </c>
    </row>
    <row r="11">
      <c r="A11" s="3" t="inlineStr">
        <is>
          <t>Phase steps</t>
        </is>
      </c>
    </row>
    <row r="12">
      <c r="A12" s="10" t="inlineStr">
        <is>
          <t>Phase</t>
        </is>
      </c>
      <c r="B12" s="10" t="inlineStr">
        <is>
          <t>Step</t>
        </is>
      </c>
    </row>
    <row r="13">
      <c r="A13" s="11" t="inlineStr">
        <is>
          <t>Phase 1</t>
        </is>
      </c>
      <c r="B13" s="11" t="inlineStr">
        <is>
          <t>1. Pre-flight: confirm Ubuntu 26.04 Server, kernel 7.0, both NVMe drives present, fTPM enabled (V2), RTL8127 link (V1).</t>
        </is>
      </c>
    </row>
    <row r="14">
      <c r="A14" s="11" t="inlineStr">
        <is>
          <t>Phase 1</t>
        </is>
      </c>
      <c r="B14" s="11" t="inlineStr">
        <is>
          <t>2. LUKS2 on the data volume, TPM2 enrolment, recovery key printed once for off-node storage (D3).</t>
        </is>
      </c>
    </row>
    <row r="15">
      <c r="A15" s="11" t="inlineStr">
        <is>
          <t>Phase 1</t>
        </is>
      </c>
      <c r="B15" s="11" t="inlineStr">
        <is>
          <t>3. Mount layout per Section 3.5; swap off; tmpfs for /tmp.</t>
        </is>
      </c>
    </row>
    <row r="16">
      <c r="A16" s="11" t="inlineStr">
        <is>
          <t>Phase 1</t>
        </is>
      </c>
      <c r="B16" s="11" t="inlineStr">
        <is>
          <t>4. System update; kernel parameters (V3); firewall baseline; SSH hardening; Cockpit.</t>
        </is>
      </c>
    </row>
    <row r="17">
      <c r="A17" s="11" t="inlineStr">
        <is>
          <t>Phase 1</t>
        </is>
      </c>
      <c r="B17" s="11" t="inlineStr">
        <is>
          <t>5. Reboot. Post-reboot: vulkaninfo shows the Radeon 8060S; llama-cli --list-devices reports the expected memory budget.</t>
        </is>
      </c>
    </row>
    <row r="18">
      <c r="A18" s="11" t="inlineStr">
        <is>
          <t>Phase 1</t>
        </is>
      </c>
      <c r="B18" s="11" t="inlineStr">
        <is>
          <t>6. Docker with GPU device passthrough; service account in render and video.</t>
        </is>
      </c>
    </row>
    <row r="19">
      <c r="A19" s="11" t="inlineStr">
        <is>
          <t>Phase 1</t>
        </is>
      </c>
      <c r="B19" s="11" t="inlineStr">
        <is>
          <t>7. WG-Easy, Cloudflare dynamic DNS with the relocated scoped token (R7), ntfy.</t>
        </is>
      </c>
    </row>
    <row r="20">
      <c r="A20" s="11" t="inlineStr">
        <is>
          <t>Phase 1</t>
        </is>
      </c>
      <c r="B20" s="11" t="inlineStr">
        <is>
          <t>8. Gate: table of V1, V2, V3, V5 results. Phase 2 does not start on a red row.</t>
        </is>
      </c>
    </row>
    <row r="21">
      <c r="A21" s="11" t="inlineStr">
        <is>
          <t>Phase 2</t>
        </is>
      </c>
      <c r="B21" s="11" t="inlineStr">
        <is>
          <t>1. llama-server, Vulkan build; optional ROCm container for tuned prefill.</t>
        </is>
      </c>
    </row>
    <row r="22">
      <c r="A22" s="11" t="inlineStr">
        <is>
          <t>Phase 2</t>
        </is>
      </c>
      <c r="B22" s="11" t="inlineStr">
        <is>
          <t>2. Redis, Celery workers (cpu, gpu queues), orchestrator scaffold with the Engine Arbiter, router, approval queue, task ledger.</t>
        </is>
      </c>
    </row>
    <row r="23">
      <c r="A23" s="11" t="inlineStr">
        <is>
          <t>Phase 2</t>
        </is>
      </c>
      <c r="B23" s="11" t="inlineStr">
        <is>
          <t>3. Open WebUI with offline hardening (12.1); A.T.L.A.S., Ren, Arthur registered as models; the router Filter installed.</t>
        </is>
      </c>
    </row>
    <row r="24">
      <c r="A24" s="11" t="inlineStr">
        <is>
          <t>Phase 2</t>
        </is>
      </c>
      <c r="B24" s="11" t="inlineStr">
        <is>
          <t>4. ChromaDB, graph store, embedding model (D4); Docling ingestion service.</t>
        </is>
      </c>
    </row>
    <row r="25">
      <c r="A25" s="11" t="inlineStr">
        <is>
          <t>Phase 2</t>
        </is>
      </c>
      <c r="B25" s="11" t="inlineStr">
        <is>
          <t>5. Kokoro, Chatterbox, Whisper Large-v3-Turbo, PyAnnote 3.1 (V6).</t>
        </is>
      </c>
    </row>
    <row r="26">
      <c r="A26" s="11" t="inlineStr">
        <is>
          <t>Phase 2</t>
        </is>
      </c>
      <c r="B26" s="11" t="inlineStr">
        <is>
          <t>6. Phase 2 tools (15.1): IfcOpenShell, Bonsai, MCP4IFC, Radiance, OpenStudio/EnergyPlus, KiCad CLI, Playwright, the cross-platform build container.</t>
        </is>
      </c>
    </row>
    <row r="27">
      <c r="A27" s="11" t="inlineStr">
        <is>
          <t>Phase 2</t>
        </is>
      </c>
      <c r="B27" s="11" t="inlineStr">
        <is>
          <t>7. restic repository on the second drive; nightly timer; first backup; first restore test.</t>
        </is>
      </c>
    </row>
    <row r="28">
      <c r="A28" s="11" t="inlineStr">
        <is>
          <t>Phase 2</t>
        </is>
      </c>
      <c r="B28" s="11" t="inlineStr">
        <is>
          <t>8. Sentinel timer (disabled until D6 confirms feeds), pruning timer.</t>
        </is>
      </c>
    </row>
    <row r="29">
      <c r="A29" s="11" t="inlineStr">
        <is>
          <t>Phase 2</t>
        </is>
      </c>
      <c r="B29" s="11" t="inlineStr">
        <is>
          <t>9. Windows PC share mount unit, on-demand.</t>
        </is>
      </c>
    </row>
    <row r="30">
      <c r="A30" s="11" t="inlineStr">
        <is>
          <t>Phase 2</t>
        </is>
      </c>
      <c r="B30" s="11" t="inlineStr">
        <is>
          <t>10. Gate: every service healthy; V6, V7 (listening test) recorded.</t>
        </is>
      </c>
    </row>
    <row r="31">
      <c r="A31" s="11" t="inlineStr">
        <is>
          <t>Phase 3</t>
        </is>
      </c>
      <c r="B31" s="11" t="inlineStr">
        <is>
          <t>1. Pull gpt-oss-120b, gpt-oss-120b abliterated, Nemotron 3 Super (UD-Q4_K_XL class), Qwen3.5-122B-A10B (Strix Halo-tuned GGUF), with checksum verification. Meditron-70B if D12 is taken.</t>
        </is>
      </c>
    </row>
    <row r="32">
      <c r="A32" s="11" t="inlineStr">
        <is>
          <t>Phase 3</t>
        </is>
      </c>
      <c r="B32" s="11" t="inlineStr">
        <is>
          <t>2. For each model, in turn: load through the Engine Arbiter; confirm the quantised KV cache actually applied (V4); measure decode and prefill at 512 and 8k tokens; measure swap time; unload; confirm memory returned.</t>
        </is>
      </c>
    </row>
    <row r="33">
      <c r="A33" s="11" t="inlineStr">
        <is>
          <t>Phase 3</t>
        </is>
      </c>
      <c r="B33" s="11" t="inlineStr">
        <is>
          <t>3. Gate: printed table of load success, KV type, tok/s, swap seconds per model. This is the day-one load test the whole design depends on (V10).</t>
        </is>
      </c>
    </row>
    <row r="34">
      <c r="A34" s="11" t="inlineStr">
        <is>
          <t>Phase 4</t>
        </is>
      </c>
      <c r="B34" s="11" t="inlineStr">
        <is>
          <t>1. Self-test the community PyTorch ROCm wheel inside the base container: tensor on GPU, matmul, a small diffusion step (V11).</t>
        </is>
      </c>
    </row>
    <row r="35">
      <c r="A35" s="11" t="inlineStr">
        <is>
          <t>Phase 4</t>
        </is>
      </c>
      <c r="B35" s="11" t="inlineStr">
        <is>
          <t>2. Build green engines in order of value: GLM-4.6V-Flash, FLUX.1, Wan2.2, Florence-2, TimesFM or Chronos, Whisper-adjacent audio, UI-TARS 2.0, Rad-DINO, SAM 2 with the extension flag, Stable Audio Open, CosyVoice2, OpenVLA.</t>
        </is>
      </c>
    </row>
    <row r="36">
      <c r="A36" s="11" t="inlineStr">
        <is>
          <t>Phase 4</t>
        </is>
      </c>
      <c r="B36" s="11" t="inlineStr">
        <is>
          <t>3. Attempt yellow engines: TRELLIS, Blender Cycles HIP with CPU fallback. Log pass or fail, never block.</t>
        </is>
      </c>
    </row>
    <row r="37">
      <c r="A37" s="11" t="inlineStr">
        <is>
          <t>Phase 4</t>
        </is>
      </c>
      <c r="B37" s="11" t="inlineStr">
        <is>
          <t>4. Verify PointLLM (V8) and Clay or Prithvi (V9); mark deferred if they fail.</t>
        </is>
      </c>
    </row>
    <row r="38">
      <c r="A38" s="11" t="inlineStr">
        <is>
          <t>Phase 4</t>
        </is>
      </c>
      <c r="B38" s="11" t="inlineStr">
        <is>
          <t>5. Register every passing engine with the Engine Arbiter with its measured footprint.</t>
        </is>
      </c>
    </row>
    <row r="39">
      <c r="A39" s="11" t="inlineStr">
        <is>
          <t>Phase 4</t>
        </is>
      </c>
      <c r="B39" s="11" t="inlineStr">
        <is>
          <t>6. Gate: per-engine table: built, loaded, sample output produced, footprint, pass/fail/deferred.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2026-09-19T12:01:39Z</dcterms:created>
  <dcterms:modified xsi:type="dcterms:W3CDTF">2026-09-19T12:01:39Z</dcterms:modified>
</cp:coreProperties>
</file>